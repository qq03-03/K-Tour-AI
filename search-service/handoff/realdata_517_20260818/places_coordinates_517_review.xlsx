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80f1cee24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65c9dc5685c445c7"/>
    <x:sheet xmlns:r="http://schemas.openxmlformats.org/officeDocument/2006/relationships" name="좌표" sheetId="2" r:id="R5b1d70908b47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34E70"/>
      </x:patternFill>
    </x:fill>
    <x:fill>
      <x:patternFill patternType="solid">
        <x:fgColor rgb="FF2C7A7B"/>
      </x:patternFill>
    </x:fill>
  </x:fills>
  <x:borders count="11">
    <x:border/>
    <x:border>
      <x:left style="thin">
        <x:color rgb="FFCBD5E0"/>
      </x:left>
      <x:right style="thin">
        <x:color rgb="FFCBD5E0"/>
      </x:right>
      <x:top style="thin">
        <x:color rgb="FFCBD5E0"/>
      </x:top>
      <x:bottom style="thin">
        <x:color rgb="FFCBD5E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aa65fb32b49b0" /><Relationship Type="http://schemas.openxmlformats.org/officeDocument/2006/relationships/theme" Target="/xl/theme/theme1.xml" Id="Rb7946908dbb6498c" /><Relationship Type="http://schemas.openxmlformats.org/officeDocument/2006/relationships/sharedStrings" Target="/xl/sharedStrings.xml" Id="R3d07dabc3b09411d" /><Relationship Type="http://schemas.openxmlformats.org/officeDocument/2006/relationships/worksheet" Target="/xl/worksheets/sheet1.xml" Id="R65c9dc5685c445c7" /><Relationship Type="http://schemas.openxmlformats.org/officeDocument/2006/relationships/worksheet" Target="/xl/worksheets/sheet2.xml" Id="R5b1d70908b47493c" /></Relationships>
</file>

<file path=xl/tables/table1.xml><?xml version="1.0" encoding="utf-8"?>
<x:table xmlns:x="http://schemas.openxmlformats.org/spreadsheetml/2006/main" id="1" name="CoordinatesTable" displayName="CoordinatesTable" ref="A1:K75" headerRowCount="1" totalsRowCount="0" totalsRowShown="0">
  <x:tableColumns count="11">
    <x:tableColumn id="1" name="place_id"/>
    <x:tableColumn id="2" name="place_name"/>
    <x:tableColumn id="3" name="region"/>
    <x:tableColumn id="4" name="city"/>
    <x:tableColumn id="5" name="address"/>
    <x:tableColumn id="6" name="latitude"/>
    <x:tableColumn id="7" name="longitude"/>
    <x:tableColumn id="8" name="coordinate_source"/>
    <x:tableColumn id="9" name="coordinate_source_url"/>
    <x:tableColumn id="10" name="statu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4546e7119545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8" hidden="0" customWidth="1"/>
  </x:cols>
  <x:sheetData>
    <x:row r="1" ht="30" customHeight="1">
      <x:c r="A1" s="4" t="str">
        <x:v>K-Tour AI 517 SCENE 좌표 검수</x:v>
      </x:c>
      <x:c r="B1" s="4"/>
      <x:c r="C1" s="4"/>
      <x:c r="D1" s="4"/>
    </x:row>
    <x:row r="3">
      <x:c r="A3" s="9" t="str">
        <x:v>항목</x:v>
      </x:c>
      <x:c r="B3" s="9" t="str">
        <x:v>값</x:v>
      </x:c>
      <x:c r="C3" s="10"/>
      <x:c r="D3" s="10"/>
    </x:row>
    <x:row r="4">
      <x:c r="A4" s="11" t="str">
        <x:v>metadata SCENE</x:v>
      </x:c>
      <x:c r="B4" s="11" t="n">
        <x:f>517</x:f>
        <x:v>517</x:v>
      </x:c>
      <x:c r="C4" s="10"/>
      <x:c r="D4" s="10"/>
    </x:row>
    <x:row r="5">
      <x:c r="A5" s="11" t="str">
        <x:v>고유 장소</x:v>
      </x:c>
      <x:c r="B5" s="11" t="n">
        <x:f>COUNTA('좌표'!A2:A75)</x:f>
        <x:v>74</x:v>
      </x:c>
      <x:c r="C5" s="10"/>
      <x:c r="D5" s="10"/>
    </x:row>
    <x:row r="6">
      <x:c r="A6" s="11" t="str">
        <x:v>좌표 보유</x:v>
      </x:c>
      <x:c r="B6" s="11" t="n">
        <x:f>COUNT('좌표'!F2:F75)</x:f>
        <x:v>74</x:v>
      </x:c>
      <x:c r="C6" s="10"/>
      <x:c r="D6" s="10"/>
    </x:row>
    <x:row r="7">
      <x:c r="A7" s="11" t="str">
        <x:v>좌표 없음</x:v>
      </x:c>
      <x:c r="B7" s="11" t="n">
        <x:f>B5-B6</x:f>
        <x:v>0</x:v>
      </x:c>
      <x:c r="C7" s="10"/>
      <x:c r="D7" s="10"/>
    </x:row>
    <x:row r="8">
      <x:c r="A8" s="11" t="str">
        <x:v>P063 포함</x:v>
      </x:c>
      <x:c r="B8" s="11" t="n">
        <x:f>COUNTIF('좌표'!A2:A75,"P063")</x:f>
        <x:v>0</x:v>
      </x:c>
      <x:c r="C8" s="10"/>
      <x:c r="D8" s="10"/>
    </x:row>
    <x:row r="9">
      <x:c r="A9" s="10"/>
      <x:c r="B9" s="10"/>
      <x:c r="C9" s="10"/>
      <x:c r="D9" s="10"/>
    </x:row>
    <x:row r="10">
      <x:c r="A10" s="9" t="str">
        <x:v>상태</x:v>
      </x:c>
      <x:c r="B10" s="9" t="str">
        <x:v>설명</x:v>
      </x:c>
      <x:c r="C10" s="9" t="str">
        <x:v>조치</x:v>
      </x:c>
      <x:c r="D10" s="9" t="str">
        <x:v>비고</x:v>
      </x:c>
    </x:row>
    <x:row r="11">
      <x:c r="A11" s="11" t="str">
        <x:v>확정</x:v>
      </x:c>
      <x:c r="B11" s="11" t="str">
        <x:v>사용자·주소 API로 기준점 확인</x:v>
      </x:c>
      <x:c r="C11" s="11" t="str">
        <x:v>바로 사용</x:v>
      </x:c>
      <x:c r="D11" s="11" t="str"/>
    </x:row>
    <x:row r="12">
      <x:c r="A12" s="11" t="str">
        <x:v>확정(대표좌표)</x:v>
      </x:c>
      <x:c r="B12" s="11" t="str">
        <x:v>섬·넓은 관광지의 대표점</x:v>
      </x:c>
      <x:c r="C12" s="11" t="str">
        <x:v>바로 사용</x:v>
      </x:c>
      <x:c r="D12" s="11" t="str"/>
    </x:row>
    <x:row r="13">
      <x:c r="A13" s="11" t="str">
        <x:v>확정(근사좌표)</x:v>
      </x:c>
      <x:c r="B13" s="11" t="str">
        <x:v>범위형 장소의 근사점</x:v>
      </x:c>
      <x:c r="C13" s="11" t="str">
        <x:v>MVP 사용 가능</x:v>
      </x:c>
      <x:c r="D13" s="11" t="str">
        <x:v>P043</x:v>
      </x:c>
    </x:row>
    <x:row r="14">
      <x:c r="A14" s="11" t="str">
        <x:v>카카오 후보 자동선정</x:v>
      </x:c>
      <x:c r="B14" s="11" t="str">
        <x:v>카카오 검색 후보 중 지역·명칭 우선</x:v>
      </x:c>
      <x:c r="C14" s="11" t="str">
        <x:v>필요 시 지도 최종 확인</x:v>
      </x:c>
      <x:c r="D14" s="11" t="str"/>
    </x:row>
    <x:row r="15">
      <x:c r="A15" s="11" t="str">
        <x:v>좌표 없음</x:v>
      </x:c>
      <x:c r="B15" s="11" t="str">
        <x:v>검색 결과 없음</x:v>
      </x:c>
      <x:c r="C15" s="11" t="str">
        <x:v>사용 전 보완</x:v>
      </x:c>
      <x:c r="D15" s="11" t="str">
        <x:v>현재 0건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  <x:col min="7" max="7" width="16" hidden="0" customWidth="1"/>
    <x:col min="8" max="8" width="20" hidden="0" customWidth="1"/>
    <x:col min="9" max="9" width="34" hidden="0" customWidth="1"/>
    <x:col min="10" max="10" width="20" hidden="0" customWidth="1"/>
    <x:col min="11" max="11" width="42" hidden="0" customWidth="1"/>
  </x:cols>
  <x:sheetData>
    <x:row r="1">
      <x:c r="A1" s="15" t="str">
        <x:v>place_id</x:v>
      </x:c>
      <x:c r="B1" s="15" t="str">
        <x:v>place_name</x:v>
      </x:c>
      <x:c r="C1" s="15" t="str">
        <x:v>region</x:v>
      </x:c>
      <x:c r="D1" s="15" t="str">
        <x:v>city</x:v>
      </x:c>
      <x:c r="E1" s="15" t="str">
        <x:v>address</x:v>
      </x:c>
      <x:c r="F1" s="15" t="str">
        <x:v>latitude</x:v>
      </x:c>
      <x:c r="G1" s="15" t="str">
        <x:v>longitude</x:v>
      </x:c>
      <x:c r="H1" s="15" t="str">
        <x:v>coordinate_source</x:v>
      </x:c>
      <x:c r="I1" s="15" t="str">
        <x:v>coordinate_source_url</x:v>
      </x:c>
      <x:c r="J1" s="15" t="str">
        <x:v>status</x:v>
      </x:c>
      <x:c r="K1" s="15" t="str">
        <x:v>notes</x:v>
      </x:c>
    </x:row>
    <x:row r="2">
      <x:c r="A2" s="28" t="str">
        <x:v>P001</x:v>
      </x:c>
      <x:c r="B2" s="29" t="str">
        <x:v>수원 화성</x:v>
      </x:c>
      <x:c r="C2" s="29" t="str">
        <x:v>경기도</x:v>
      </x:c>
      <x:c r="D2" s="29" t="str">
        <x:v>수원시</x:v>
      </x:c>
      <x:c r="E2" s="29" t="str"/>
      <x:c r="F2" s="30" t="n">
        <x:v>37.2827</x:v>
      </x:c>
      <x:c r="G2" s="30" t="n">
        <x:v>127.0141</x:v>
      </x:c>
      <x:c r="H2" s="29" t="str">
        <x:v>사용자 제공</x:v>
      </x:c>
      <x:c r="I2" s="29" t="str"/>
      <x:c r="J2" s="29" t="str">
        <x:v>확정</x:v>
      </x:c>
      <x:c r="K2" s="31" t="str">
        <x:v>관광 중심지 기준</x:v>
      </x:c>
    </x:row>
    <x:row r="3">
      <x:c r="A3" s="32" t="str">
        <x:v>P002</x:v>
      </x:c>
      <x:c r="B3" s="33" t="str">
        <x:v>여의도 한강</x:v>
      </x:c>
      <x:c r="C3" s="33" t="str">
        <x:v>서울특별시</x:v>
      </x:c>
      <x:c r="D3" s="33" t="str">
        <x:v>서울특별시</x:v>
      </x:c>
      <x:c r="E3" s="33" t="str"/>
      <x:c r="F3" s="34" t="n">
        <x:v>37.528391</x:v>
      </x:c>
      <x:c r="G3" s="34" t="n">
        <x:v>126.934242</x:v>
      </x:c>
      <x:c r="H3" s="33" t="str">
        <x:v>사용자 제공</x:v>
      </x:c>
      <x:c r="I3" s="33" t="str"/>
      <x:c r="J3" s="33" t="str">
        <x:v>확정</x:v>
      </x:c>
      <x:c r="K3" s="35" t="str">
        <x:v>이벤트광장 기준</x:v>
      </x:c>
    </x:row>
    <x:row r="4">
      <x:c r="A4" s="32" t="str">
        <x:v>P003</x:v>
      </x:c>
      <x:c r="B4" s="33" t="str">
        <x:v>수원대학교</x:v>
      </x:c>
      <x:c r="C4" s="33" t="str">
        <x:v>경기도</x:v>
      </x:c>
      <x:c r="D4" s="33" t="str">
        <x:v>화성시</x:v>
      </x:c>
      <x:c r="E4" s="33" t="str"/>
      <x:c r="F4" s="34" t="n">
        <x:v>37.2101</x:v>
      </x:c>
      <x:c r="G4" s="34" t="n">
        <x:v>126.9793</x:v>
      </x:c>
      <x:c r="H4" s="33" t="str">
        <x:v>사용자 제공</x:v>
      </x:c>
      <x:c r="I4" s="33" t="str"/>
      <x:c r="J4" s="33" t="str">
        <x:v>확정</x:v>
      </x:c>
      <x:c r="K4" s="35" t="str">
        <x:v>대표 좌표</x:v>
      </x:c>
    </x:row>
    <x:row r="5">
      <x:c r="A5" s="32" t="str">
        <x:v>P004</x:v>
      </x:c>
      <x:c r="B5" s="33" t="str">
        <x:v>고창 학원농장</x:v>
      </x:c>
      <x:c r="C5" s="33" t="str">
        <x:v>전북특별자치도</x:v>
      </x:c>
      <x:c r="D5" s="33" t="str">
        <x:v>고창군</x:v>
      </x:c>
      <x:c r="E5" s="33" t="str"/>
      <x:c r="F5" s="34" t="n">
        <x:v>35.52353</x:v>
      </x:c>
      <x:c r="G5" s="34" t="n">
        <x:v>126.53899</x:v>
      </x:c>
      <x:c r="H5" s="33" t="str">
        <x:v>사용자 제공</x:v>
      </x:c>
      <x:c r="I5" s="33" t="str"/>
      <x:c r="J5" s="33" t="str">
        <x:v>확정</x:v>
      </x:c>
      <x:c r="K5" s="35" t="str">
        <x:v>대표 좌표</x:v>
      </x:c>
    </x:row>
    <x:row r="6">
      <x:c r="A6" s="32" t="str">
        <x:v>P005</x:v>
      </x:c>
      <x:c r="B6" s="33" t="str">
        <x:v>전주 한옥마을</x:v>
      </x:c>
      <x:c r="C6" s="33" t="str">
        <x:v>전북특별자치도</x:v>
      </x:c>
      <x:c r="D6" s="33" t="str">
        <x:v>전주시</x:v>
      </x:c>
      <x:c r="E6" s="33" t="str"/>
      <x:c r="F6" s="34" t="n">
        <x:v>35.81558</x:v>
      </x:c>
      <x:c r="G6" s="34" t="n">
        <x:v>127.1498</x:v>
      </x:c>
      <x:c r="H6" s="33" t="str">
        <x:v>사용자 제공</x:v>
      </x:c>
      <x:c r="I6" s="33" t="str"/>
      <x:c r="J6" s="33" t="str">
        <x:v>확정</x:v>
      </x:c>
      <x:c r="K6" s="35" t="str">
        <x:v>중심 거리·경기전 인근 기준</x:v>
      </x:c>
    </x:row>
    <x:row r="7">
      <x:c r="A7" s="32" t="str">
        <x:v>P006</x:v>
      </x:c>
      <x:c r="B7" s="33" t="str">
        <x:v>온빛자연휴양림</x:v>
      </x:c>
      <x:c r="C7" s="33" t="str">
        <x:v>충청남도</x:v>
      </x:c>
      <x:c r="D7" s="33" t="str">
        <x:v>논산시</x:v>
      </x:c>
      <x:c r="E7" s="33" t="str"/>
      <x:c r="F7" s="34" t="n">
        <x:v>36.2198</x:v>
      </x:c>
      <x:c r="G7" s="34" t="n">
        <x:v>127.2985</x:v>
      </x:c>
      <x:c r="H7" s="33" t="str">
        <x:v>사용자 제공</x:v>
      </x:c>
      <x:c r="I7" s="33" t="str"/>
      <x:c r="J7" s="33" t="str">
        <x:v>확정</x:v>
      </x:c>
      <x:c r="K7" s="35" t="str">
        <x:v>은빛자연휴양림 표기는 온빛자연휴양림으로 통일 필요</x:v>
      </x:c>
    </x:row>
    <x:row r="8">
      <x:c r="A8" s="32" t="str">
        <x:v>P007</x:v>
      </x:c>
      <x:c r="B8" s="33" t="str">
        <x:v>한벽굴</x:v>
      </x:c>
      <x:c r="C8" s="33" t="str">
        <x:v>전북특별자치도</x:v>
      </x:c>
      <x:c r="D8" s="33" t="str">
        <x:v>전주시</x:v>
      </x:c>
      <x:c r="E8" s="33" t="str"/>
      <x:c r="F8" s="34" t="n">
        <x:v>35.81187</x:v>
      </x:c>
      <x:c r="G8" s="34" t="n">
        <x:v>127.16081</x:v>
      </x:c>
      <x:c r="H8" s="33" t="str">
        <x:v>사용자 제공</x:v>
      </x:c>
      <x:c r="I8" s="33" t="str"/>
      <x:c r="J8" s="33" t="str">
        <x:v>확정</x:v>
      </x:c>
      <x:c r="K8" s="35" t="str"/>
    </x:row>
    <x:row r="9">
      <x:c r="A9" s="32" t="str">
        <x:v>P008</x:v>
      </x:c>
      <x:c r="B9" s="33" t="str">
        <x:v>명진 책 대여점</x:v>
      </x:c>
      <x:c r="C9" s="33" t="str">
        <x:v>전북특별자치도</x:v>
      </x:c>
      <x:c r="D9" s="33" t="str">
        <x:v>전주시</x:v>
      </x:c>
      <x:c r="E9" s="33" t="str">
        <x:v>전북특별자치도 전주시 완산구 서학3길 63</x:v>
      </x:c>
      <x:c r="F9" s="34" t="n">
        <x:v>35.8083412217659</x:v>
      </x:c>
      <x:c r="G9" s="34" t="n">
        <x:v>127.151738441918</x:v>
      </x:c>
      <x:c r="H9" s="33" t="str">
        <x:v>카카오 주소 API</x:v>
      </x:c>
      <x:c r="I9" s="33" t="str"/>
      <x:c r="J9" s="33" t="str">
        <x:v>확정</x:v>
      </x:c>
      <x:c r="K9" s="35" t="str">
        <x:v>서학동예술마을 내 촬영지 주소 기준</x:v>
      </x:c>
    </x:row>
    <x:row r="10">
      <x:c r="A10" s="32" t="str">
        <x:v>P009</x:v>
      </x:c>
      <x:c r="B10" s="33" t="str">
        <x:v>전주 오목대</x:v>
      </x:c>
      <x:c r="C10" s="33" t="str">
        <x:v>전북특별자치도</x:v>
      </x:c>
      <x:c r="D10" s="33" t="str">
        <x:v>전주시</x:v>
      </x:c>
      <x:c r="E10" s="33" t="str">
        <x:v>전북특별자치도 전주시 완산구 기린대로 55</x:v>
      </x:c>
      <x:c r="F10" s="34" t="n">
        <x:v>35.8143819050269</x:v>
      </x:c>
      <x:c r="G10" s="34" t="n">
        <x:v>127.154583362895</x:v>
      </x:c>
      <x:c r="H10" s="33" t="str">
        <x:v>카카오 로컬 API</x:v>
      </x:c>
      <x:c r="I10" s="33" t="str">
        <x:v>http://place.map.kakao.com/8458699</x:v>
      </x:c>
      <x:c r="J10" s="33" t="str">
        <x:v>확정</x:v>
      </x:c>
      <x:c r="K10" s="35" t="str"/>
    </x:row>
    <x:row r="11">
      <x:c r="A11" s="32" t="str">
        <x:v>P010</x:v>
      </x:c>
      <x:c r="B11" s="33" t="str">
        <x:v>포항 영일만항</x:v>
      </x:c>
      <x:c r="C11" s="33" t="str">
        <x:v>경상북도</x:v>
      </x:c>
      <x:c r="D11" s="33" t="str">
        <x:v>포항시</x:v>
      </x:c>
      <x:c r="E11" s="33" t="str">
        <x:v>경북 포항시 북구 흥해읍 영일만항로 151</x:v>
      </x:c>
      <x:c r="F11" s="34" t="n">
        <x:v>36.110470848669</x:v>
      </x:c>
      <x:c r="G11" s="34" t="n">
        <x:v>129.435298666205</x:v>
      </x:c>
      <x:c r="H11" s="33" t="str">
        <x:v>카카오 로컬 API</x:v>
      </x:c>
      <x:c r="I11" s="33" t="str">
        <x:v>http://place.map.kakao.com/8126046</x:v>
      </x:c>
      <x:c r="J11" s="33" t="str">
        <x:v>확정</x:v>
      </x:c>
      <x:c r="K11" s="35" t="str"/>
    </x:row>
    <x:row r="12">
      <x:c r="A12" s="32" t="str">
        <x:v>P011</x:v>
      </x:c>
      <x:c r="B12" s="33" t="str">
        <x:v>제주도 고성오일시장</x:v>
      </x:c>
      <x:c r="C12" s="33" t="str">
        <x:v>제주특별자치도</x:v>
      </x:c>
      <x:c r="D12" s="33" t="str">
        <x:v>제주시</x:v>
      </x:c>
      <x:c r="E12" s="33" t="str">
        <x:v>제주특별자치도 서귀포시 성산읍 고성오조로 93</x:v>
      </x:c>
      <x:c r="F12" s="34" t="n">
        <x:v>33.45199979768546</x:v>
      </x:c>
      <x:c r="G12" s="34" t="n">
        <x:v>126.91329816476421</x:v>
      </x:c>
      <x:c r="H12" s="33" t="str">
        <x:v>카카오 로컬 API</x:v>
      </x:c>
      <x:c r="I12" s="33" t="str">
        <x:v>http://place.map.kakao.com/11696879</x:v>
      </x:c>
      <x:c r="J12" s="33" t="str">
        <x:v>확정</x:v>
      </x:c>
      <x:c r="K12" s="35" t="str"/>
    </x:row>
    <x:row r="13">
      <x:c r="A13" s="32" t="str">
        <x:v>P012</x:v>
      </x:c>
      <x:c r="B13" s="33" t="str">
        <x:v>비내섬</x:v>
      </x:c>
      <x:c r="C13" s="33" t="str">
        <x:v>충청북도</x:v>
      </x:c>
      <x:c r="D13" s="33" t="str">
        <x:v>충주시</x:v>
      </x:c>
      <x:c r="E13" s="33" t="str">
        <x:v>충북 충주시 소태면 복탄리 908</x:v>
      </x:c>
      <x:c r="F13" s="34" t="n">
        <x:v>37.107632452436036</x:v>
      </x:c>
      <x:c r="G13" s="34" t="n">
        <x:v>127.81772586221321</x:v>
      </x:c>
      <x:c r="H13" s="33" t="str">
        <x:v>카카오 로컬 API</x:v>
      </x:c>
      <x:c r="I13" s="33" t="str">
        <x:v>http://place.map.kakao.com/11495420</x:v>
      </x:c>
      <x:c r="J13" s="33" t="str">
        <x:v>확정</x:v>
      </x:c>
      <x:c r="K13" s="35" t="str"/>
    </x:row>
    <x:row r="14">
      <x:c r="A14" s="32" t="str">
        <x:v>P013</x:v>
      </x:c>
      <x:c r="B14" s="33" t="str">
        <x:v>강릉 주문진</x:v>
      </x:c>
      <x:c r="C14" s="33" t="str">
        <x:v>강원특별자치도</x:v>
      </x:c>
      <x:c r="D14" s="33" t="str">
        <x:v>강릉시</x:v>
      </x:c>
      <x:c r="E14" s="33" t="str"/>
      <x:c r="F14" s="34" t="n">
        <x:v>37.8798554564007</x:v>
      </x:c>
      <x:c r="G14" s="34" t="n">
        <x:v>128.834204251177</x:v>
      </x:c>
      <x:c r="H14" s="33" t="str">
        <x:v>카카오 로컬 API</x:v>
      </x:c>
      <x:c r="I14" s="33" t="str">
        <x:v>http://place.map.kakao.com/1873746459</x:v>
      </x:c>
      <x:c r="J14" s="33" t="str">
        <x:v>확정</x:v>
      </x:c>
      <x:c r="K14" s="35" t="str">
        <x:v>강릉 주문진 대표 촬영지 기준</x:v>
      </x:c>
    </x:row>
    <x:row r="15">
      <x:c r="A15" s="32" t="str">
        <x:v>P014</x:v>
      </x:c>
      <x:c r="B15" s="33" t="str">
        <x:v>평창 월정사</x:v>
      </x:c>
      <x:c r="C15" s="33" t="str">
        <x:v>강원특별자치도</x:v>
      </x:c>
      <x:c r="D15" s="33" t="str">
        <x:v>평창군</x:v>
      </x:c>
      <x:c r="E15" s="33" t="str">
        <x:v>강원특별자치도 평창군 진부면 오대산로 374-8</x:v>
      </x:c>
      <x:c r="F15" s="34" t="n">
        <x:v>37.73175082498766</x:v>
      </x:c>
      <x:c r="G15" s="34" t="n">
        <x:v>128.59212296344094</x:v>
      </x:c>
      <x:c r="H15" s="33" t="str">
        <x:v>카카오 로컬 API</x:v>
      </x:c>
      <x:c r="I15" s="33" t="str">
        <x:v>http://place.map.kakao.com/8045048</x:v>
      </x:c>
      <x:c r="J15" s="33" t="str">
        <x:v>확정</x:v>
      </x:c>
      <x:c r="K15" s="35" t="str"/>
    </x:row>
    <x:row r="16">
      <x:c r="A16" s="32" t="str">
        <x:v>P015</x:v>
      </x:c>
      <x:c r="B16" s="33" t="str">
        <x:v>망상해변</x:v>
      </x:c>
      <x:c r="C16" s="33" t="str">
        <x:v>강원특별자치도</x:v>
      </x:c>
      <x:c r="D16" s="33" t="str">
        <x:v>동해시</x:v>
      </x:c>
      <x:c r="E16" s="33" t="str">
        <x:v>강원특별자치도 동해시 동해대로 6270-10</x:v>
      </x:c>
      <x:c r="F16" s="34" t="n">
        <x:v>37.5933739406532</x:v>
      </x:c>
      <x:c r="G16" s="34" t="n">
        <x:v>129.090473530107</x:v>
      </x:c>
      <x:c r="H16" s="33" t="str">
        <x:v>카카오 로컬 API</x:v>
      </x:c>
      <x:c r="I16" s="33" t="str">
        <x:v>http://place.map.kakao.com/11081458</x:v>
      </x:c>
      <x:c r="J16" s="33" t="str">
        <x:v>확정</x:v>
      </x:c>
      <x:c r="K16" s="35" t="str"/>
    </x:row>
    <x:row r="17">
      <x:c r="A17" s="32" t="str">
        <x:v>P016</x:v>
      </x:c>
      <x:c r="B17" s="33" t="str">
        <x:v>경복궁</x:v>
      </x:c>
      <x:c r="C17" s="33" t="str">
        <x:v>서울특별시</x:v>
      </x:c>
      <x:c r="D17" s="33" t="str">
        <x:v>서울특별시</x:v>
      </x:c>
      <x:c r="E17" s="33" t="str">
        <x:v>서울 종로구 사직로 161</x:v>
      </x:c>
      <x:c r="F17" s="34" t="n">
        <x:v>37.577613288258206</x:v>
      </x:c>
      <x:c r="G17" s="34" t="n">
        <x:v>126.97689786832184</x:v>
      </x:c>
      <x:c r="H17" s="33" t="str">
        <x:v>카카오 로컬 API</x:v>
      </x:c>
      <x:c r="I17" s="33" t="str">
        <x:v>http://place.map.kakao.com/18619553</x:v>
      </x:c>
      <x:c r="J17" s="33" t="str">
        <x:v>확정</x:v>
      </x:c>
      <x:c r="K17" s="35" t="str"/>
    </x:row>
    <x:row r="18">
      <x:c r="A18" s="32" t="str">
        <x:v>P017</x:v>
      </x:c>
      <x:c r="B18" s="33" t="str">
        <x:v>창덕궁</x:v>
      </x:c>
      <x:c r="C18" s="33" t="str">
        <x:v>서울특별시</x:v>
      </x:c>
      <x:c r="D18" s="33" t="str">
        <x:v>서울특별시</x:v>
      </x:c>
      <x:c r="E18" s="33" t="str">
        <x:v>서울 종로구 율곡로 99</x:v>
      </x:c>
      <x:c r="F18" s="34" t="n">
        <x:v>37.57964694739535</x:v>
      </x:c>
      <x:c r="G18" s="34" t="n">
        <x:v>126.99099980677127</x:v>
      </x:c>
      <x:c r="H18" s="33" t="str">
        <x:v>카카오 로컬 API</x:v>
      </x:c>
      <x:c r="I18" s="33" t="str">
        <x:v>http://place.map.kakao.com/10771162</x:v>
      </x:c>
      <x:c r="J18" s="33" t="str">
        <x:v>확정</x:v>
      </x:c>
      <x:c r="K18" s="35" t="str"/>
    </x:row>
    <x:row r="19">
      <x:c r="A19" s="32" t="str">
        <x:v>P018</x:v>
      </x:c>
      <x:c r="B19" s="33" t="str">
        <x:v>영월 주천강</x:v>
      </x:c>
      <x:c r="C19" s="33" t="str">
        <x:v>강원특별자치도</x:v>
      </x:c>
      <x:c r="D19" s="33" t="str">
        <x:v>영월군</x:v>
      </x:c>
      <x:c r="E19" s="33" t="str">
        <x:v>강원특별자치도 영월군 주천면 판운리 488-5</x:v>
      </x:c>
      <x:c r="F19" s="34" t="n">
        <x:v>37.2945909669734</x:v>
      </x:c>
      <x:c r="G19" s="34" t="n">
        <x:v>128.325270948965</x:v>
      </x:c>
      <x:c r="H19" s="33" t="str">
        <x:v>카카오 주소 API</x:v>
      </x:c>
      <x:c r="I19" s="33" t="str"/>
      <x:c r="J19" s="33" t="str">
        <x:v>확정</x:v>
      </x:c>
      <x:c r="K19" s="35" t="str">
        <x:v>촬영지 자료에서 확인한 지번 주소 기준</x:v>
      </x:c>
    </x:row>
    <x:row r="20">
      <x:c r="A20" s="32" t="str">
        <x:v>P019</x:v>
      </x:c>
      <x:c r="B20" s="33" t="str">
        <x:v>상주 함창역</x:v>
      </x:c>
      <x:c r="C20" s="33" t="str">
        <x:v>경상북도</x:v>
      </x:c>
      <x:c r="D20" s="33" t="str">
        <x:v>상주시</x:v>
      </x:c>
      <x:c r="E20" s="33" t="str">
        <x:v>경북 상주시 함창읍 가야로 3</x:v>
      </x:c>
      <x:c r="F20" s="34" t="n">
        <x:v>36.5696577984383</x:v>
      </x:c>
      <x:c r="G20" s="34" t="n">
        <x:v>128.174882340074</x:v>
      </x:c>
      <x:c r="H20" s="33" t="str">
        <x:v>카카오 로컬 API</x:v>
      </x:c>
      <x:c r="I20" s="33" t="str">
        <x:v>http://place.map.kakao.com/10921424</x:v>
      </x:c>
      <x:c r="J20" s="33" t="str">
        <x:v>확정</x:v>
      </x:c>
      <x:c r="K20" s="35" t="str"/>
    </x:row>
    <x:row r="21">
      <x:c r="A21" s="32" t="str">
        <x:v>P020</x:v>
      </x:c>
      <x:c r="B21" s="33" t="str">
        <x:v>서천</x:v>
      </x:c>
      <x:c r="C21" s="33" t="str">
        <x:v>충청남도</x:v>
      </x:c>
      <x:c r="D21" s="33" t="str">
        <x:v>서천군</x:v>
      </x:c>
      <x:c r="E21" s="33" t="str">
        <x:v>충남 서천군 장항읍 송림리 산 58-48</x:v>
      </x:c>
      <x:c r="F21" s="34" t="n">
        <x:v>36.0184418365009</x:v>
      </x:c>
      <x:c r="G21" s="34" t="n">
        <x:v>126.66518032365</x:v>
      </x:c>
      <x:c r="H21" s="33" t="str">
        <x:v>카카오 로컬 API</x:v>
      </x:c>
      <x:c r="I21" s="33" t="str">
        <x:v>http://place.map.kakao.com/26861048</x:v>
      </x:c>
      <x:c r="J21" s="33" t="str">
        <x:v>확정</x:v>
      </x:c>
      <x:c r="K21" s="35" t="str"/>
    </x:row>
    <x:row r="22">
      <x:c r="A22" s="32" t="str">
        <x:v>P021</x:v>
      </x:c>
      <x:c r="B22" s="33" t="str">
        <x:v>청계천</x:v>
      </x:c>
      <x:c r="C22" s="33" t="str">
        <x:v>서울특별시</x:v>
      </x:c>
      <x:c r="D22" s="33" t="str">
        <x:v>서울특별시</x:v>
      </x:c>
      <x:c r="E22" s="33" t="str">
        <x:v>서울 중구 태평로1가 1</x:v>
      </x:c>
      <x:c r="F22" s="34" t="n">
        <x:v>37.569074693516065</x:v>
      </x:c>
      <x:c r="G22" s="34" t="n">
        <x:v>126.97759212096156</x:v>
      </x:c>
      <x:c r="H22" s="33" t="str">
        <x:v>카카오 로컬 API</x:v>
      </x:c>
      <x:c r="I22" s="33" t="str">
        <x:v>http://place.map.kakao.com/11512319</x:v>
      </x:c>
      <x:c r="J22" s="33" t="str">
        <x:v>확정</x:v>
      </x:c>
      <x:c r="K22" s="35" t="str">
        <x:v>청계천 대표 표시 지점으로 청계광장 사용</x:v>
      </x:c>
    </x:row>
    <x:row r="23">
      <x:c r="A23" s="32" t="str">
        <x:v>P022</x:v>
      </x:c>
      <x:c r="B23" s="33" t="str">
        <x:v>파라다이스시티</x:v>
      </x:c>
      <x:c r="C23" s="33" t="str">
        <x:v>인천광역시</x:v>
      </x:c>
      <x:c r="D23" s="33" t="str">
        <x:v>인천광역시</x:v>
      </x:c>
      <x:c r="E23" s="33" t="str">
        <x:v>인천 영종구 영종해안남로321번길 186</x:v>
      </x:c>
      <x:c r="F23" s="34" t="n">
        <x:v>37.437245732031954</x:v>
      </x:c>
      <x:c r="G23" s="34" t="n">
        <x:v>126.45578147120696</x:v>
      </x:c>
      <x:c r="H23" s="33" t="str">
        <x:v>카카오 로컬 API</x:v>
      </x:c>
      <x:c r="I23" s="33" t="str">
        <x:v>http://place.map.kakao.com/527592042</x:v>
      </x:c>
      <x:c r="J23" s="33" t="str">
        <x:v>확정</x:v>
      </x:c>
      <x:c r="K23" s="35" t="str"/>
    </x:row>
    <x:row r="24">
      <x:c r="A24" s="32" t="str">
        <x:v>P023</x:v>
      </x:c>
      <x:c r="B24" s="33" t="str">
        <x:v>포항 구룡포 석병리</x:v>
      </x:c>
      <x:c r="C24" s="33" t="str">
        <x:v>경상북도</x:v>
      </x:c>
      <x:c r="D24" s="33" t="str">
        <x:v>포항시</x:v>
      </x:c>
      <x:c r="E24" s="33" t="str">
        <x:v>경북 포항시 남구 구룡포읍 일출로 207</x:v>
      </x:c>
      <x:c r="F24" s="34" t="n">
        <x:v>36.0124611572903</x:v>
      </x:c>
      <x:c r="G24" s="34" t="n">
        <x:v>129.576737767501</x:v>
      </x:c>
      <x:c r="H24" s="33" t="str">
        <x:v>카카오 로컬 API</x:v>
      </x:c>
      <x:c r="I24" s="33" t="str">
        <x:v>http://place.map.kakao.com/23864387</x:v>
      </x:c>
      <x:c r="J24" s="33" t="str">
        <x:v>확정</x:v>
      </x:c>
      <x:c r="K24" s="35" t="str">
        <x:v>석병1리마을회관을 대표 지점으로 사용</x:v>
      </x:c>
    </x:row>
    <x:row r="25">
      <x:c r="A25" s="32" t="str">
        <x:v>P024</x:v>
      </x:c>
      <x:c r="B25" s="33" t="str">
        <x:v>포항 청하 공진시장</x:v>
      </x:c>
      <x:c r="C25" s="33" t="str">
        <x:v>경상북도</x:v>
      </x:c>
      <x:c r="D25" s="33" t="str">
        <x:v>포항시</x:v>
      </x:c>
      <x:c r="E25" s="33" t="str">
        <x:v>경북 포항시 북구 청하면 미남리 382-3</x:v>
      </x:c>
      <x:c r="F25" s="34" t="n">
        <x:v>36.19705421304869</x:v>
      </x:c>
      <x:c r="G25" s="34" t="n">
        <x:v>129.33977153030838</x:v>
      </x:c>
      <x:c r="H25" s="33" t="str">
        <x:v>카카오 로컬 API</x:v>
      </x:c>
      <x:c r="I25" s="33" t="str">
        <x:v>http://place.map.kakao.com/18525290</x:v>
      </x:c>
      <x:c r="J25" s="33" t="str">
        <x:v>확정</x:v>
      </x:c>
      <x:c r="K25" s="35" t="str"/>
    </x:row>
    <x:row r="26">
      <x:c r="A26" s="32" t="str">
        <x:v>P025</x:v>
      </x:c>
      <x:c r="B26" s="33" t="str">
        <x:v>제주도 청굴물</x:v>
      </x:c>
      <x:c r="C26" s="33" t="str">
        <x:v>제주특별자치도</x:v>
      </x:c>
      <x:c r="D26" s="33" t="str">
        <x:v>제주시</x:v>
      </x:c>
      <x:c r="E26" s="33" t="str">
        <x:v>제주특별자치도 제주시 구좌읍 김녕리 1296</x:v>
      </x:c>
      <x:c r="F26" s="34" t="n">
        <x:v>33.5582918680451</x:v>
      </x:c>
      <x:c r="G26" s="34" t="n">
        <x:v>126.751157460293</x:v>
      </x:c>
      <x:c r="H26" s="33" t="str">
        <x:v>카카오 로컬 API</x:v>
      </x:c>
      <x:c r="I26" s="33" t="str">
        <x:v>http://place.map.kakao.com/17754603</x:v>
      </x:c>
      <x:c r="J26" s="33" t="str">
        <x:v>확정</x:v>
      </x:c>
      <x:c r="K26" s="35" t="str"/>
    </x:row>
    <x:row r="27">
      <x:c r="A27" s="32" t="str">
        <x:v>P026</x:v>
      </x:c>
      <x:c r="B27" s="33" t="str">
        <x:v>제주도 태봉왓</x:v>
      </x:c>
      <x:c r="C27" s="33" t="str">
        <x:v>제주특별자치도</x:v>
      </x:c>
      <x:c r="D27" s="33" t="str">
        <x:v>제주시</x:v>
      </x:c>
      <x:c r="E27" s="33" t="str">
        <x:v>제주특별자치도 서귀포시 대정읍 가파로 101</x:v>
      </x:c>
      <x:c r="F27" s="34" t="n">
        <x:v>33.16834841902524</x:v>
      </x:c>
      <x:c r="G27" s="34" t="n">
        <x:v>126.27570162962913</x:v>
      </x:c>
      <x:c r="H27" s="33" t="str">
        <x:v>카카오 로컬 API</x:v>
      </x:c>
      <x:c r="I27" s="33" t="str">
        <x:v>http://place.map.kakao.com/2102958942</x:v>
      </x:c>
      <x:c r="J27" s="33" t="str">
        <x:v>확정</x:v>
      </x:c>
      <x:c r="K27" s="35" t="str"/>
    </x:row>
    <x:row r="28">
      <x:c r="A28" s="32" t="str">
        <x:v>P027</x:v>
      </x:c>
      <x:c r="B28" s="33" t="str">
        <x:v>금능리 대표 관광지</x:v>
      </x:c>
      <x:c r="C28" s="33" t="str">
        <x:v>제주특별자치도</x:v>
      </x:c>
      <x:c r="D28" s="33" t="str">
        <x:v>제주시</x:v>
      </x:c>
      <x:c r="E28" s="33" t="str">
        <x:v>제주특별자치도 제주시 한림읍 금능리 1701-1</x:v>
      </x:c>
      <x:c r="F28" s="34" t="n">
        <x:v>33.3880061610003</x:v>
      </x:c>
      <x:c r="G28" s="34" t="n">
        <x:v>126.226042968412</x:v>
      </x:c>
      <x:c r="H28" s="33" t="str">
        <x:v>카카오 주소 API</x:v>
      </x:c>
      <x:c r="I28" s="33" t="str"/>
      <x:c r="J28" s="33" t="str">
        <x:v>확정</x:v>
      </x:c>
      <x:c r="K28" s="35" t="str">
        <x:v>우리들의 블루스 금능리 주택 촬영지 지번 기준</x:v>
      </x:c>
    </x:row>
    <x:row r="29">
      <x:c r="A29" s="32" t="str">
        <x:v>P029</x:v>
      </x:c>
      <x:c r="B29" s="33" t="str">
        <x:v>상주 경천섬 공원</x:v>
      </x:c>
      <x:c r="C29" s="33" t="str">
        <x:v>경상북도</x:v>
      </x:c>
      <x:c r="D29" s="33" t="str">
        <x:v>상주시</x:v>
      </x:c>
      <x:c r="E29" s="33" t="str">
        <x:v>경북 상주시 중동면 오상리</x:v>
      </x:c>
      <x:c r="F29" s="34" t="n">
        <x:v>36.4399243533953</x:v>
      </x:c>
      <x:c r="G29" s="34" t="n">
        <x:v>128.259711893989</x:v>
      </x:c>
      <x:c r="H29" s="33" t="str">
        <x:v>카카오 로컬 API</x:v>
      </x:c>
      <x:c r="I29" s="33" t="str">
        <x:v>http://place.map.kakao.com/21997970</x:v>
      </x:c>
      <x:c r="J29" s="33" t="str">
        <x:v>확정</x:v>
      </x:c>
      <x:c r="K29" s="35" t="str"/>
    </x:row>
    <x:row r="30">
      <x:c r="A30" s="32" t="str">
        <x:v>P030</x:v>
      </x:c>
      <x:c r="B30" s="33" t="str">
        <x:v>혜원의 집</x:v>
      </x:c>
      <x:c r="C30" s="33" t="str">
        <x:v>대구광역시</x:v>
      </x:c>
      <x:c r="D30" s="33" t="str">
        <x:v>군위군</x:v>
      </x:c>
      <x:c r="E30" s="33" t="str">
        <x:v>대구 군위군 우보면 미성5길 58-1</x:v>
      </x:c>
      <x:c r="F30" s="34" t="n">
        <x:v>36.179731413438354</x:v>
      </x:c>
      <x:c r="G30" s="34" t="n">
        <x:v>128.66451532386364</x:v>
      </x:c>
      <x:c r="H30" s="33" t="str">
        <x:v>카카오 로컬 API</x:v>
      </x:c>
      <x:c r="I30" s="33" t="str">
        <x:v>http://place.map.kakao.com/32663188</x:v>
      </x:c>
      <x:c r="J30" s="33" t="str">
        <x:v>카카오 후보 자동선정</x:v>
      </x:c>
      <x:c r="K30" s="35" t="str">
        <x:v>영화 리틀포레스트 촬영지; query=혜원의 집; rank=1</x:v>
      </x:c>
    </x:row>
    <x:row r="31">
      <x:c r="A31" s="32" t="str">
        <x:v>P031</x:v>
      </x:c>
      <x:c r="B31" s="33" t="str">
        <x:v>충주 중앙탑공원</x:v>
      </x:c>
      <x:c r="C31" s="33" t="str">
        <x:v>충청북도</x:v>
      </x:c>
      <x:c r="D31" s="33" t="str">
        <x:v>충주시</x:v>
      </x:c>
      <x:c r="E31" s="33" t="str">
        <x:v>충북 충주시 중앙탑면 탑정안길 6</x:v>
      </x:c>
      <x:c r="F31" s="34" t="n">
        <x:v>37.01711679176299</x:v>
      </x:c>
      <x:c r="G31" s="34" t="n">
        <x:v>127.86685914869933</x:v>
      </x:c>
      <x:c r="H31" s="33" t="str">
        <x:v>카카오 로컬 API</x:v>
      </x:c>
      <x:c r="I31" s="33" t="str"/>
      <x:c r="J31" s="33" t="str">
        <x:v>확정</x:v>
      </x:c>
      <x:c r="K31" s="35" t="str">
        <x:v>중앙탑사적공원 대표 좌표</x:v>
      </x:c>
    </x:row>
    <x:row r="32">
      <x:c r="A32" s="32" t="str">
        <x:v>P032</x:v>
      </x:c>
      <x:c r="B32" s="33" t="str">
        <x:v>화홍문</x:v>
      </x:c>
      <x:c r="C32" s="33" t="str">
        <x:v>경기도</x:v>
      </x:c>
      <x:c r="D32" s="33" t="str">
        <x:v>수원시</x:v>
      </x:c>
      <x:c r="E32" s="33" t="str">
        <x:v>경기 수원시 팔달구 북수동 9000-1</x:v>
      </x:c>
      <x:c r="F32" s="34" t="n">
        <x:v>37.28754551327953</x:v>
      </x:c>
      <x:c r="G32" s="34" t="n">
        <x:v>127.01762609024438</x:v>
      </x:c>
      <x:c r="H32" s="33" t="str">
        <x:v>카카오 로컬 API</x:v>
      </x:c>
      <x:c r="I32" s="33" t="str">
        <x:v>http://place.map.kakao.com/11387143</x:v>
      </x:c>
      <x:c r="J32" s="33" t="str">
        <x:v>카카오 후보 자동선정</x:v>
      </x:c>
      <x:c r="K32" s="35" t="str">
        <x:v>수원화성 화홍문; query=화홍문; rank=1</x:v>
      </x:c>
    </x:row>
    <x:row r="33">
      <x:c r="A33" s="32" t="str">
        <x:v>P033</x:v>
      </x:c>
      <x:c r="B33" s="33" t="str">
        <x:v>서울로7017</x:v>
      </x:c>
      <x:c r="C33" s="33" t="str">
        <x:v>서울특별시</x:v>
      </x:c>
      <x:c r="D33" s="33" t="str">
        <x:v>서울특별시</x:v>
      </x:c>
      <x:c r="E33" s="33" t="str">
        <x:v>서울 중구 남대문로5가 84-15</x:v>
      </x:c>
      <x:c r="F33" s="34" t="n">
        <x:v>37.557109027019116</x:v>
      </x:c>
      <x:c r="G33" s="34" t="n">
        <x:v>126.97541367376364</x:v>
      </x:c>
      <x:c r="H33" s="33" t="str">
        <x:v>카카오 로컬 API</x:v>
      </x:c>
      <x:c r="I33" s="33" t="str">
        <x:v>http://place.map.kakao.com/1892446523</x:v>
      </x:c>
      <x:c r="J33" s="33" t="str">
        <x:v>카카오 후보 자동선정</x:v>
      </x:c>
      <x:c r="K33" s="35" t="str">
        <x:v>서울로7017; query=서울로7017; rank=1</x:v>
      </x:c>
    </x:row>
    <x:row r="34">
      <x:c r="A34" s="32" t="str">
        <x:v>P034</x:v>
      </x:c>
      <x:c r="B34" s="33" t="str">
        <x:v>이태원 녹사평 육교</x:v>
      </x:c>
      <x:c r="C34" s="33" t="str">
        <x:v>서울특별시</x:v>
      </x:c>
      <x:c r="D34" s="33" t="str">
        <x:v>서울특별시</x:v>
      </x:c>
      <x:c r="E34" s="33" t="str">
        <x:v>서울 용산구 녹사평대로 지하 195</x:v>
      </x:c>
      <x:c r="F34" s="34" t="n">
        <x:v>37.5349210695376</x:v>
      </x:c>
      <x:c r="G34" s="34" t="n">
        <x:v>126.987033888672</x:v>
      </x:c>
      <x:c r="H34" s="33" t="str">
        <x:v>카카오 로컬 API</x:v>
      </x:c>
      <x:c r="I34" s="33" t="str">
        <x:v>http://place.map.kakao.com/1930390402</x:v>
      </x:c>
      <x:c r="J34" s="33" t="str">
        <x:v>카카오 후보 자동선정</x:v>
      </x:c>
      <x:c r="K34" s="35" t="str">
        <x:v>녹사평육교; query=이태원 녹사평 육교; rank=1</x:v>
      </x:c>
    </x:row>
    <x:row r="35">
      <x:c r="A35" s="32" t="str">
        <x:v>P035</x:v>
      </x:c>
      <x:c r="B35" s="33" t="str">
        <x:v>여수 소호동동다리</x:v>
      </x:c>
      <x:c r="C35" s="33" t="str">
        <x:v>전라남도</x:v>
      </x:c>
      <x:c r="D35" s="33" t="str">
        <x:v>여수시</x:v>
      </x:c>
      <x:c r="E35" s="33" t="str">
        <x:v>전남광주통합특별시 여수시 소호동 498-1</x:v>
      </x:c>
      <x:c r="F35" s="34" t="n">
        <x:v>34.74087611212171</x:v>
      </x:c>
      <x:c r="G35" s="34" t="n">
        <x:v>127.65074568267204</x:v>
      </x:c>
      <x:c r="H35" s="33" t="str">
        <x:v>카카오 로컬 API</x:v>
      </x:c>
      <x:c r="I35" s="33" t="str">
        <x:v>http://place.map.kakao.com/530749902</x:v>
      </x:c>
      <x:c r="J35" s="33" t="str">
        <x:v>카카오 후보 자동선정</x:v>
      </x:c>
      <x:c r="K35" s="35" t="str">
        <x:v>소호동동다리; query=여수 소호동동다리; rank=1</x:v>
      </x:c>
    </x:row>
    <x:row r="36">
      <x:c r="A36" s="32" t="str">
        <x:v>P036</x:v>
      </x:c>
      <x:c r="B36" s="33" t="str">
        <x:v>부산 더베이101·마린시티</x:v>
      </x:c>
      <x:c r="C36" s="33" t="str">
        <x:v>부산광역시</x:v>
      </x:c>
      <x:c r="D36" s="33" t="str">
        <x:v>부산광역시</x:v>
      </x:c>
      <x:c r="E36" s="33" t="str">
        <x:v>부산광역시 해운대구 동백로 52</x:v>
      </x:c>
      <x:c r="F36" s="34" t="n">
        <x:v>35.1565378</x:v>
      </x:c>
      <x:c r="G36" s="34" t="n">
        <x:v>129.1519899</x:v>
      </x:c>
      <x:c r="H36" s="33" t="str">
        <x:v>주소 지도 검증</x:v>
      </x:c>
      <x:c r="I36" s="33" t="str">
        <x:v>https://www.google.com/maps/search/?api=1&amp;query=%EB%B6%80%EC%82%B0%EA%B4%91%EC%97%AD%EC%8B%9C+%ED%95%B4%EC%9A%B4%EB%8C%80%EA%B5%AC+%EB%8F%99%EB%B0%B1%EB%A1%9C+52</x:v>
      </x:c>
      <x:c r="J36" s="33" t="str">
        <x:v>확정</x:v>
      </x:c>
      <x:c r="K36" s="35" t="str">
        <x:v>더베이101 대표 좌표</x:v>
      </x:c>
    </x:row>
    <x:row r="37">
      <x:c r="A37" s="32" t="str">
        <x:v>P037</x:v>
      </x:c>
      <x:c r="B37" s="33" t="str">
        <x:v>부산항대교·영도</x:v>
      </x:c>
      <x:c r="C37" s="33" t="str">
        <x:v>부산광역시</x:v>
      </x:c>
      <x:c r="D37" s="33" t="str">
        <x:v>부산광역시</x:v>
      </x:c>
      <x:c r="E37" s="33" t="str">
        <x:v>부산광역시 부산항대교</x:v>
      </x:c>
      <x:c r="F37" s="34" t="n">
        <x:v>35.1045602</x:v>
      </x:c>
      <x:c r="G37" s="34" t="n">
        <x:v>129.0614894</x:v>
      </x:c>
      <x:c r="H37" s="33" t="str">
        <x:v>공공데이터포털 관광지 정보</x:v>
      </x:c>
      <x:c r="I37" s="33" t="str">
        <x:v>https://www.data.go.kr/data/15070786/openapi.do</x:v>
      </x:c>
      <x:c r="J37" s="33" t="str">
        <x:v>확정</x:v>
      </x:c>
      <x:c r="K37" s="35" t="str">
        <x:v>부산항대교 대표 좌표; 편의점 검색 후보 제외</x:v>
      </x:c>
    </x:row>
    <x:row r="38">
      <x:c r="A38" s="32" t="str">
        <x:v>P038</x:v>
      </x:c>
      <x:c r="B38" s="33" t="str">
        <x:v>부산 광안대교</x:v>
      </x:c>
      <x:c r="C38" s="33" t="str">
        <x:v>부산광역시</x:v>
      </x:c>
      <x:c r="D38" s="33" t="str">
        <x:v>부산광역시</x:v>
      </x:c>
      <x:c r="E38" s="33" t="str">
        <x:v>부산 수영구 민락동 113-52</x:v>
      </x:c>
      <x:c r="F38" s="34" t="n">
        <x:v>35.1474701651617</x:v>
      </x:c>
      <x:c r="G38" s="34" t="n">
        <x:v>129.130066851959</x:v>
      </x:c>
      <x:c r="H38" s="33" t="str">
        <x:v>카카오 로컬 API</x:v>
      </x:c>
      <x:c r="I38" s="33" t="str">
        <x:v>http://place.map.kakao.com/170421478</x:v>
      </x:c>
      <x:c r="J38" s="33" t="str">
        <x:v>카카오 후보 자동선정</x:v>
      </x:c>
      <x:c r="K38" s="35" t="str">
        <x:v>광안대교; query=부산 광안대교; rank=1</x:v>
      </x:c>
    </x:row>
    <x:row r="39">
      <x:c r="A39" s="32" t="str">
        <x:v>P039</x:v>
      </x:c>
      <x:c r="B39" s="33" t="str">
        <x:v>청주 중앙공원·수암골 일대</x:v>
      </x:c>
      <x:c r="C39" s="33" t="str">
        <x:v>충청북도</x:v>
      </x:c>
      <x:c r="D39" s="33" t="str">
        <x:v>청주시</x:v>
      </x:c>
      <x:c r="E39" s="33" t="str">
        <x:v>충북 청주시 상당구 수동 81-245</x:v>
      </x:c>
      <x:c r="F39" s="34" t="n">
        <x:v>36.6457462982182</x:v>
      </x:c>
      <x:c r="G39" s="34" t="n">
        <x:v>127.495439275669</x:v>
      </x:c>
      <x:c r="H39" s="33" t="str">
        <x:v>카카오 주소 API</x:v>
      </x:c>
      <x:c r="I39" s="33" t="str"/>
      <x:c r="J39" s="33" t="str">
        <x:v>확정</x:v>
      </x:c>
      <x:c r="K39" s="35" t="str">
        <x:v>수암골전망대 대표 좌표</x:v>
      </x:c>
    </x:row>
    <x:row r="40">
      <x:c r="A40" s="32" t="str">
        <x:v>P040</x:v>
      </x:c>
      <x:c r="B40" s="33" t="str">
        <x:v>포항 스페이스워크</x:v>
      </x:c>
      <x:c r="C40" s="33" t="str">
        <x:v>경상북도</x:v>
      </x:c>
      <x:c r="D40" s="33" t="str">
        <x:v>포항시</x:v>
      </x:c>
      <x:c r="E40" s="33" t="str">
        <x:v>경북 포항시 북구 두호동 산 8</x:v>
      </x:c>
      <x:c r="F40" s="34" t="n">
        <x:v>36.065137652747694</x:v>
      </x:c>
      <x:c r="G40" s="34" t="n">
        <x:v>129.3903862441959</x:v>
      </x:c>
      <x:c r="H40" s="33" t="str">
        <x:v>카카오 로컬 API</x:v>
      </x:c>
      <x:c r="I40" s="33" t="str">
        <x:v>http://place.map.kakao.com/1440340624</x:v>
      </x:c>
      <x:c r="J40" s="33" t="str">
        <x:v>카카오 후보 자동선정</x:v>
      </x:c>
      <x:c r="K40" s="35" t="str">
        <x:v>환호공원 스페이스워크; query=포항 스페이스워크; rank=1</x:v>
      </x:c>
    </x:row>
    <x:row r="41">
      <x:c r="A41" s="32" t="str">
        <x:v>P041</x:v>
      </x:c>
      <x:c r="B41" s="33" t="str">
        <x:v>사방기념공원</x:v>
      </x:c>
      <x:c r="C41" s="33" t="str">
        <x:v>경상북도</x:v>
      </x:c>
      <x:c r="D41" s="33" t="str">
        <x:v>포항시</x:v>
      </x:c>
      <x:c r="E41" s="33" t="str">
        <x:v>경북 포항시 북구 흥해읍 해안로 1801</x:v>
      </x:c>
      <x:c r="F41" s="34" t="n">
        <x:v>36.16482201943029</x:v>
      </x:c>
      <x:c r="G41" s="34" t="n">
        <x:v>129.3958587723502</x:v>
      </x:c>
      <x:c r="H41" s="33" t="str">
        <x:v>카카오 로컬 API</x:v>
      </x:c>
      <x:c r="I41" s="33" t="str">
        <x:v>http://place.map.kakao.com/11738474</x:v>
      </x:c>
      <x:c r="J41" s="33" t="str">
        <x:v>카카오 후보 자동선정</x:v>
      </x:c>
      <x:c r="K41" s="35" t="str">
        <x:v>사방기념공원; query=사방기념공원; rank=1</x:v>
      </x:c>
    </x:row>
    <x:row r="42">
      <x:c r="A42" s="32" t="str">
        <x:v>P042</x:v>
      </x:c>
      <x:c r="B42" s="33" t="str">
        <x:v>쿠키 가파도</x:v>
      </x:c>
      <x:c r="C42" s="33" t="str">
        <x:v>제주특별자치도</x:v>
      </x:c>
      <x:c r="D42" s="33" t="str">
        <x:v>서귀포시</x:v>
      </x:c>
      <x:c r="E42" s="33" t="str">
        <x:v>제주특별자치도 서귀포시 대정읍 가파도</x:v>
      </x:c>
      <x:c r="F42" s="34" t="n">
        <x:v>33.1683333</x:v>
      </x:c>
      <x:c r="G42" s="34" t="n">
        <x:v>126.2713889</x:v>
      </x:c>
      <x:c r="H42" s="33" t="str">
        <x:v>사용자 제공</x:v>
      </x:c>
      <x:c r="I42" s="33" t="str"/>
      <x:c r="J42" s="33" t="str">
        <x:v>확정(대표좌표)</x:v>
      </x:c>
      <x:c r="K42" s="35" t="str">
        <x:v>가파도 섬 중심부</x:v>
      </x:c>
    </x:row>
    <x:row r="43">
      <x:c r="A43" s="32" t="str">
        <x:v>P043</x:v>
      </x:c>
      <x:c r="B43" s="33" t="str">
        <x:v>신촌 앞바다</x:v>
      </x:c>
      <x:c r="C43" s="33" t="str">
        <x:v>제주특별자치도</x:v>
      </x:c>
      <x:c r="D43" s="33" t="str">
        <x:v>제주시</x:v>
      </x:c>
      <x:c r="E43" s="33" t="str">
        <x:v>제주특별자치도 제주시 조천읍 신촌리 해안</x:v>
      </x:c>
      <x:c r="F43" s="34" t="n">
        <x:v>33.5333333</x:v>
      </x:c>
      <x:c r="G43" s="34" t="n">
        <x:v>126.6166667</x:v>
      </x:c>
      <x:c r="H43" s="33" t="str">
        <x:v>사용자 제공</x:v>
      </x:c>
      <x:c r="I43" s="33" t="str"/>
      <x:c r="J43" s="33" t="str">
        <x:v>확정(근사좌표)</x:v>
      </x:c>
      <x:c r="K43" s="35" t="str">
        <x:v>신촌 앞바다 대표 근사 좌표</x:v>
      </x:c>
    </x:row>
    <x:row r="44">
      <x:c r="A44" s="32" t="str">
        <x:v>P044</x:v>
      </x:c>
      <x:c r="B44" s="33" t="str">
        <x:v>주문진 방파제</x:v>
      </x:c>
      <x:c r="C44" s="33" t="str">
        <x:v>강원특별자치도</x:v>
      </x:c>
      <x:c r="D44" s="33" t="str">
        <x:v>강릉시</x:v>
      </x:c>
      <x:c r="E44" s="33" t="str">
        <x:v>강원특별자치도 강릉시 주문진읍 교항리</x:v>
      </x:c>
      <x:c r="F44" s="34" t="n">
        <x:v>37.8798554564007</x:v>
      </x:c>
      <x:c r="G44" s="34" t="n">
        <x:v>128.834204251177</x:v>
      </x:c>
      <x:c r="H44" s="33" t="str">
        <x:v>카카오 로컬 API</x:v>
      </x:c>
      <x:c r="I44" s="33" t="str">
        <x:v>http://place.map.kakao.com/1873746459</x:v>
      </x:c>
      <x:c r="J44" s="33" t="str">
        <x:v>카카오 후보 자동선정</x:v>
      </x:c>
      <x:c r="K44" s="35" t="str">
        <x:v>주문진방파제; query=주문진 방파제; rank=1</x:v>
      </x:c>
    </x:row>
    <x:row r="45">
      <x:c r="A45" s="32" t="str">
        <x:v>P045</x:v>
      </x:c>
      <x:c r="B45" s="33" t="str">
        <x:v>올레길5코스</x:v>
      </x:c>
      <x:c r="C45" s="33" t="str">
        <x:v>제주특별자치도</x:v>
      </x:c>
      <x:c r="D45" s="33" t="str">
        <x:v>서귀포시</x:v>
      </x:c>
      <x:c r="E45" s="33" t="str">
        <x:v>제주특별자치도 서귀포시 남원읍 위미리 1727-1</x:v>
      </x:c>
      <x:c r="F45" s="34" t="n">
        <x:v>33.27078076230098</x:v>
      </x:c>
      <x:c r="G45" s="34" t="n">
        <x:v>126.66743988738492</x:v>
      </x:c>
      <x:c r="H45" s="33" t="str">
        <x:v>카카오 로컬 API</x:v>
      </x:c>
      <x:c r="I45" s="33" t="str">
        <x:v>http://place.map.kakao.com/11828668</x:v>
      </x:c>
      <x:c r="J45" s="33" t="str">
        <x:v>카카오 후보 자동선정</x:v>
      </x:c>
      <x:c r="K45" s="35" t="str">
        <x:v>올레길 5코스(남원-쇠소깍 올레); query=올레길5코스; rank=1</x:v>
      </x:c>
    </x:row>
    <x:row r="46">
      <x:c r="A46" s="32" t="str">
        <x:v>P046</x:v>
      </x:c>
      <x:c r="B46" s="33" t="str">
        <x:v>오천항</x:v>
      </x:c>
      <x:c r="C46" s="33" t="str">
        <x:v>충청남도</x:v>
      </x:c>
      <x:c r="D46" s="33" t="str">
        <x:v>보령시</x:v>
      </x:c>
      <x:c r="E46" s="33" t="str">
        <x:v>충남 보령시 오천면 소성리</x:v>
      </x:c>
      <x:c r="F46" s="34" t="n">
        <x:v>36.4392677794874</x:v>
      </x:c>
      <x:c r="G46" s="34" t="n">
        <x:v>126.519632363757</x:v>
      </x:c>
      <x:c r="H46" s="33" t="str">
        <x:v>카카오 로컬 API</x:v>
      </x:c>
      <x:c r="I46" s="33" t="str">
        <x:v>http://place.map.kakao.com/10621096</x:v>
      </x:c>
      <x:c r="J46" s="33" t="str">
        <x:v>카카오 후보 자동선정</x:v>
      </x:c>
      <x:c r="K46" s="35" t="str">
        <x:v>오천항; query=오천항; rank=1</x:v>
      </x:c>
    </x:row>
    <x:row r="47">
      <x:c r="A47" s="32" t="str">
        <x:v>P047</x:v>
      </x:c>
      <x:c r="B47" s="33" t="str">
        <x:v>구룡포 일본인가옥거리</x:v>
      </x:c>
      <x:c r="C47" s="33" t="str">
        <x:v>경상북도</x:v>
      </x:c>
      <x:c r="D47" s="33" t="str">
        <x:v>포항시</x:v>
      </x:c>
      <x:c r="E47" s="33" t="str">
        <x:v>경북 포항시 남구 구룡포읍 구룡포리 971-1</x:v>
      </x:c>
      <x:c r="F47" s="34" t="n">
        <x:v>35.9905582196314</x:v>
      </x:c>
      <x:c r="G47" s="34" t="n">
        <x:v>129.560418852909</x:v>
      </x:c>
      <x:c r="H47" s="33" t="str">
        <x:v>카카오 로컬 API</x:v>
      </x:c>
      <x:c r="I47" s="33" t="str">
        <x:v>http://place.map.kakao.com/1364011631</x:v>
      </x:c>
      <x:c r="J47" s="33" t="str">
        <x:v>카카오 후보 자동선정</x:v>
      </x:c>
      <x:c r="K47" s="35" t="str">
        <x:v>구룡포 일본인 가옥 거리; query=구룡포 일본인가옥거리; rank=1</x:v>
      </x:c>
    </x:row>
    <x:row r="48">
      <x:c r="A48" s="32" t="str">
        <x:v>P048</x:v>
      </x:c>
      <x:c r="B48" s="33" t="str">
        <x:v>부남해변</x:v>
      </x:c>
      <x:c r="C48" s="33" t="str">
        <x:v>강원특별자치도</x:v>
      </x:c>
      <x:c r="D48" s="33" t="str">
        <x:v>삼척시</x:v>
      </x:c>
      <x:c r="E48" s="33" t="str">
        <x:v>강원특별자치도 삼척시 근덕면 부남리</x:v>
      </x:c>
      <x:c r="F48" s="34" t="n">
        <x:v>37.362162544846</x:v>
      </x:c>
      <x:c r="G48" s="34" t="n">
        <x:v>129.251128408746</x:v>
      </x:c>
      <x:c r="H48" s="33" t="str">
        <x:v>카카오 로컬 API</x:v>
      </x:c>
      <x:c r="I48" s="33" t="str">
        <x:v>http://place.map.kakao.com/7899940</x:v>
      </x:c>
      <x:c r="J48" s="33" t="str">
        <x:v>카카오 후보 자동선정</x:v>
      </x:c>
      <x:c r="K48" s="35" t="str">
        <x:v>부남해변; query=부남해변; rank=1</x:v>
      </x:c>
    </x:row>
    <x:row r="49">
      <x:c r="A49" s="32" t="str">
        <x:v>P049</x:v>
      </x:c>
      <x:c r="B49" s="33" t="str">
        <x:v>이기대 해안산책로</x:v>
      </x:c>
      <x:c r="C49" s="33" t="str">
        <x:v>부산광역시</x:v>
      </x:c>
      <x:c r="D49" s="33" t="str">
        <x:v>부산광역시</x:v>
      </x:c>
      <x:c r="E49" s="33" t="str">
        <x:v>부산 남구 용호동</x:v>
      </x:c>
      <x:c r="F49" s="34" t="n">
        <x:v>35.11577835670782</x:v>
      </x:c>
      <x:c r="G49" s="34" t="n">
        <x:v>129.1271487816168</x:v>
      </x:c>
      <x:c r="H49" s="33" t="str">
        <x:v>카카오 로컬 API</x:v>
      </x:c>
      <x:c r="I49" s="33" t="str">
        <x:v>http://place.map.kakao.com/13050992</x:v>
      </x:c>
      <x:c r="J49" s="33" t="str">
        <x:v>카카오 후보 자동선정</x:v>
      </x:c>
      <x:c r="K49" s="35" t="str">
        <x:v>이기대해안산책로; query=이기대 해안산책로; rank=1</x:v>
      </x:c>
    </x:row>
    <x:row r="50">
      <x:c r="A50" s="32" t="str">
        <x:v>P050</x:v>
      </x:c>
      <x:c r="B50" s="33" t="str">
        <x:v>화진포 해수욕장</x:v>
      </x:c>
      <x:c r="C50" s="33" t="str">
        <x:v>강원특별자치도</x:v>
      </x:c>
      <x:c r="D50" s="33" t="str">
        <x:v>고성군</x:v>
      </x:c>
      <x:c r="E50" s="33" t="str">
        <x:v>강원특별자치도 고성군 현내면 초도리</x:v>
      </x:c>
      <x:c r="F50" s="34" t="n">
        <x:v>38.4785382598549</x:v>
      </x:c>
      <x:c r="G50" s="34" t="n">
        <x:v>128.439373564159</x:v>
      </x:c>
      <x:c r="H50" s="33" t="str">
        <x:v>카카오 로컬 API</x:v>
      </x:c>
      <x:c r="I50" s="33" t="str">
        <x:v>http://place.map.kakao.com/26952651</x:v>
      </x:c>
      <x:c r="J50" s="33" t="str">
        <x:v>카카오 후보 자동선정</x:v>
      </x:c>
      <x:c r="K50" s="35" t="str">
        <x:v>화진포해변; query=화진포 해수욕장; rank=1</x:v>
      </x:c>
    </x:row>
    <x:row r="51">
      <x:c r="A51" s="32" t="str">
        <x:v>P051</x:v>
      </x:c>
      <x:c r="B51" s="33" t="str">
        <x:v>아바이마을</x:v>
      </x:c>
      <x:c r="C51" s="33" t="str">
        <x:v>강원특별자치도</x:v>
      </x:c>
      <x:c r="D51" s="33" t="str">
        <x:v>속초시</x:v>
      </x:c>
      <x:c r="E51" s="33" t="str">
        <x:v>강원특별자치도 속초시 청호동 550-14</x:v>
      </x:c>
      <x:c r="F51" s="34" t="n">
        <x:v>38.202177212336174</x:v>
      </x:c>
      <x:c r="G51" s="34" t="n">
        <x:v>128.5942285663621</x:v>
      </x:c>
      <x:c r="H51" s="33" t="str">
        <x:v>카카오 로컬 API</x:v>
      </x:c>
      <x:c r="I51" s="33" t="str">
        <x:v>http://place.map.kakao.com/11951680</x:v>
      </x:c>
      <x:c r="J51" s="33" t="str">
        <x:v>카카오 후보 자동선정</x:v>
      </x:c>
      <x:c r="K51" s="35" t="str">
        <x:v>아바이마을; query=아바이마을; rank=1</x:v>
      </x:c>
    </x:row>
    <x:row r="52">
      <x:c r="A52" s="32" t="str">
        <x:v>P052</x:v>
      </x:c>
      <x:c r="B52" s="33" t="str">
        <x:v>자하문터널</x:v>
      </x:c>
      <x:c r="C52" s="33" t="str">
        <x:v>서울특별시</x:v>
      </x:c>
      <x:c r="D52" s="33" t="str">
        <x:v>서울특별시</x:v>
      </x:c>
      <x:c r="E52" s="33" t="str">
        <x:v>서울 종로구 청운동 산 4-34</x:v>
      </x:c>
      <x:c r="F52" s="34" t="n">
        <x:v>37.59109381053928</x:v>
      </x:c>
      <x:c r="G52" s="34" t="n">
        <x:v>126.96529582862915</x:v>
      </x:c>
      <x:c r="H52" s="33" t="str">
        <x:v>카카오 로컬 API</x:v>
      </x:c>
      <x:c r="I52" s="33" t="str">
        <x:v>http://place.map.kakao.com/8059280</x:v>
      </x:c>
      <x:c r="J52" s="33" t="str">
        <x:v>카카오 후보 자동선정</x:v>
      </x:c>
      <x:c r="K52" s="35" t="str">
        <x:v>자하문터널; query=자하문터널; rank=1</x:v>
      </x:c>
    </x:row>
    <x:row r="53">
      <x:c r="A53" s="32" t="str">
        <x:v>P053</x:v>
      </x:c>
      <x:c r="B53" s="33" t="str">
        <x:v>사천진 해변</x:v>
      </x:c>
      <x:c r="C53" s="33" t="str">
        <x:v>강원특별자치도</x:v>
      </x:c>
      <x:c r="D53" s="33" t="str">
        <x:v>강릉시</x:v>
      </x:c>
      <x:c r="E53" s="33" t="str">
        <x:v>강원특별자치도 강릉시 사천면 진리해변길 131</x:v>
      </x:c>
      <x:c r="F53" s="34" t="n">
        <x:v>37.8429299799559</x:v>
      </x:c>
      <x:c r="G53" s="34" t="n">
        <x:v>128.873688474729</x:v>
      </x:c>
      <x:c r="H53" s="33" t="str">
        <x:v>카카오 로컬 API</x:v>
      </x:c>
      <x:c r="I53" s="33" t="str">
        <x:v>http://place.map.kakao.com/27578139</x:v>
      </x:c>
      <x:c r="J53" s="33" t="str">
        <x:v>카카오 후보 자동선정</x:v>
      </x:c>
      <x:c r="K53" s="35" t="str">
        <x:v>사천진해변; query=사천진 해변; rank=1</x:v>
      </x:c>
    </x:row>
    <x:row r="54">
      <x:c r="A54" s="32" t="str">
        <x:v>P054</x:v>
      </x:c>
      <x:c r="B54" s="33" t="str">
        <x:v>영인산 자연휴양림</x:v>
      </x:c>
      <x:c r="C54" s="33" t="str">
        <x:v>충청남도</x:v>
      </x:c>
      <x:c r="D54" s="33" t="str">
        <x:v>아산시</x:v>
      </x:c>
      <x:c r="E54" s="33" t="str">
        <x:v>충남 아산시 영인면 아산온천로 16-26</x:v>
      </x:c>
      <x:c r="F54" s="34" t="n">
        <x:v>36.84104588935129</x:v>
      </x:c>
      <x:c r="G54" s="34" t="n">
        <x:v>126.95014385033994</x:v>
      </x:c>
      <x:c r="H54" s="33" t="str">
        <x:v>카카오 로컬 API</x:v>
      </x:c>
      <x:c r="I54" s="33" t="str">
        <x:v>http://place.map.kakao.com/8010414</x:v>
      </x:c>
      <x:c r="J54" s="33" t="str">
        <x:v>카카오 후보 자동선정</x:v>
      </x:c>
      <x:c r="K54" s="35" t="str">
        <x:v>영인산자연휴양림; query=영인산 자연휴양림; rank=1</x:v>
      </x:c>
    </x:row>
    <x:row r="55">
      <x:c r="A55" s="32" t="str">
        <x:v>P055</x:v>
      </x:c>
      <x:c r="B55" s="33" t="str">
        <x:v>동부마을 팽나무</x:v>
      </x:c>
      <x:c r="C55" s="33" t="str">
        <x:v>경상남도</x:v>
      </x:c>
      <x:c r="D55" s="33" t="str">
        <x:v>창원시</x:v>
      </x:c>
      <x:c r="E55" s="33" t="str">
        <x:v>경남 창원시 의창구 대산면 북부리 102-1</x:v>
      </x:c>
      <x:c r="F55" s="34" t="n">
        <x:v>35.3491062321099</x:v>
      </x:c>
      <x:c r="G55" s="34" t="n">
        <x:v>128.72753813773</x:v>
      </x:c>
      <x:c r="H55" s="33" t="str">
        <x:v>카카오 로컬 API</x:v>
      </x:c>
      <x:c r="I55" s="33" t="str">
        <x:v>http://place.map.kakao.com/287391715</x:v>
      </x:c>
      <x:c r="J55" s="33" t="str">
        <x:v>카카오 후보 자동선정</x:v>
      </x:c>
      <x:c r="K55" s="35" t="str">
        <x:v>창원 북부리 팽나무; query=동부마을 팽나무; rank=1</x:v>
      </x:c>
    </x:row>
    <x:row r="56">
      <x:c r="A56" s="32" t="str">
        <x:v>P056</x:v>
      </x:c>
      <x:c r="B56" s="33" t="str">
        <x:v>강화 전등사</x:v>
      </x:c>
      <x:c r="C56" s="33" t="str">
        <x:v>인천광역시</x:v>
      </x:c>
      <x:c r="D56" s="33" t="str">
        <x:v>인천광역시</x:v>
      </x:c>
      <x:c r="E56" s="33" t="str">
        <x:v>인천 강화군 길상면 전등사로 37-41</x:v>
      </x:c>
      <x:c r="F56" s="34" t="n">
        <x:v>37.6321456856267</x:v>
      </x:c>
      <x:c r="G56" s="34" t="n">
        <x:v>126.484778944969</x:v>
      </x:c>
      <x:c r="H56" s="33" t="str">
        <x:v>카카오 로컬 API</x:v>
      </x:c>
      <x:c r="I56" s="33" t="str">
        <x:v>http://place.map.kakao.com/8063837</x:v>
      </x:c>
      <x:c r="J56" s="33" t="str">
        <x:v>카카오 후보 자동선정</x:v>
      </x:c>
      <x:c r="K56" s="35" t="str">
        <x:v>전등사; query=강화 전등사; rank=1</x:v>
      </x:c>
    </x:row>
    <x:row r="57">
      <x:c r="A57" s="32" t="str">
        <x:v>P057</x:v>
      </x:c>
      <x:c r="B57" s="33" t="str">
        <x:v>청라호수공원</x:v>
      </x:c>
      <x:c r="C57" s="33" t="str">
        <x:v>인천광역시</x:v>
      </x:c>
      <x:c r="D57" s="33" t="str">
        <x:v>인천광역시</x:v>
      </x:c>
      <x:c r="E57" s="33" t="str">
        <x:v>인천 서해구 청라동 106-2</x:v>
      </x:c>
      <x:c r="F57" s="34" t="n">
        <x:v>37.53249042934526</x:v>
      </x:c>
      <x:c r="G57" s="34" t="n">
        <x:v>126.63427992472252</x:v>
      </x:c>
      <x:c r="H57" s="33" t="str">
        <x:v>카카오 로컬 API</x:v>
      </x:c>
      <x:c r="I57" s="33" t="str">
        <x:v>http://place.map.kakao.com/18475105</x:v>
      </x:c>
      <x:c r="J57" s="33" t="str">
        <x:v>카카오 후보 자동선정</x:v>
      </x:c>
      <x:c r="K57" s="35" t="str">
        <x:v>청라호수공원; query=청라호수공원; rank=1</x:v>
      </x:c>
    </x:row>
    <x:row r="58">
      <x:c r="A58" s="32" t="str">
        <x:v>P058</x:v>
      </x:c>
      <x:c r="B58" s="33" t="str">
        <x:v>부평역</x:v>
      </x:c>
      <x:c r="C58" s="33" t="str">
        <x:v>인천광역시</x:v>
      </x:c>
      <x:c r="D58" s="33" t="str">
        <x:v>인천광역시</x:v>
      </x:c>
      <x:c r="E58" s="33" t="str">
        <x:v>인천 부평구 광장로 16</x:v>
      </x:c>
      <x:c r="F58" s="34" t="n">
        <x:v>37.4894490429055</x:v>
      </x:c>
      <x:c r="G58" s="34" t="n">
        <x:v>126.724331088618</x:v>
      </x:c>
      <x:c r="H58" s="33" t="str">
        <x:v>카카오 로컬 API</x:v>
      </x:c>
      <x:c r="I58" s="33" t="str">
        <x:v>http://place.map.kakao.com/21160577</x:v>
      </x:c>
      <x:c r="J58" s="33" t="str">
        <x:v>카카오 후보 자동선정</x:v>
      </x:c>
      <x:c r="K58" s="35" t="str">
        <x:v>부평역 1호선; query=부평역; rank=1</x:v>
      </x:c>
    </x:row>
    <x:row r="59">
      <x:c r="A59" s="32" t="str">
        <x:v>P059</x:v>
      </x:c>
      <x:c r="B59" s="33" t="str">
        <x:v>원대리 자작나무숲</x:v>
      </x:c>
      <x:c r="C59" s="33" t="str">
        <x:v>강원특별자치도</x:v>
      </x:c>
      <x:c r="D59" s="33" t="str">
        <x:v>인제군</x:v>
      </x:c>
      <x:c r="E59" s="33" t="str">
        <x:v>강원특별자치도 인제군 인제읍 원대리 산 75-22</x:v>
      </x:c>
      <x:c r="F59" s="34" t="n">
        <x:v>37.988190793167696</x:v>
      </x:c>
      <x:c r="G59" s="34" t="n">
        <x:v>128.19898760828082</x:v>
      </x:c>
      <x:c r="H59" s="33" t="str">
        <x:v>카카오 로컬 API</x:v>
      </x:c>
      <x:c r="I59" s="33" t="str">
        <x:v>http://place.map.kakao.com/27301455</x:v>
      </x:c>
      <x:c r="J59" s="33" t="str">
        <x:v>카카오 후보 자동선정</x:v>
      </x:c>
      <x:c r="K59" s="35" t="str">
        <x:v>원대리자작나무숲; query=원대리 자작나무숲; rank=1</x:v>
      </x:c>
    </x:row>
    <x:row r="60">
      <x:c r="A60" s="32" t="str">
        <x:v>P060</x:v>
      </x:c>
      <x:c r="B60" s="33" t="str">
        <x:v>재인폭포</x:v>
      </x:c>
      <x:c r="C60" s="33" t="str">
        <x:v>경기도</x:v>
      </x:c>
      <x:c r="D60" s="33" t="str">
        <x:v>연천군</x:v>
      </x:c>
      <x:c r="E60" s="33" t="str">
        <x:v>경기 연천군 연천읍 부곡리 산 235</x:v>
      </x:c>
      <x:c r="F60" s="34" t="n">
        <x:v>38.07693251670516</x:v>
      </x:c>
      <x:c r="G60" s="34" t="n">
        <x:v>127.1433657083957</x:v>
      </x:c>
      <x:c r="H60" s="33" t="str">
        <x:v>카카오 로컬 API</x:v>
      </x:c>
      <x:c r="I60" s="33" t="str">
        <x:v>http://place.map.kakao.com/8062094</x:v>
      </x:c>
      <x:c r="J60" s="33" t="str">
        <x:v>카카오 후보 자동선정</x:v>
      </x:c>
      <x:c r="K60" s="35" t="str">
        <x:v>재인폭포; query=재인폭포; rank=1</x:v>
      </x:c>
    </x:row>
    <x:row r="61">
      <x:c r="A61" s="32" t="str">
        <x:v>P061</x:v>
      </x:c>
      <x:c r="B61" s="33" t="str">
        <x:v>용화산</x:v>
      </x:c>
      <x:c r="C61" s="33" t="str">
        <x:v>강원특별자치도</x:v>
      </x:c>
      <x:c r="D61" s="33" t="str">
        <x:v>화천군</x:v>
      </x:c>
      <x:c r="E61" s="33" t="str">
        <x:v>강원특별자치도 화천군 하남면 삼화리 102-7</x:v>
      </x:c>
      <x:c r="F61" s="34" t="n">
        <x:v>38.0390316062079</x:v>
      </x:c>
      <x:c r="G61" s="34" t="n">
        <x:v>127.739867906177</x:v>
      </x:c>
      <x:c r="H61" s="33" t="str">
        <x:v>카카오 로컬 API</x:v>
      </x:c>
      <x:c r="I61" s="33" t="str">
        <x:v>http://place.map.kakao.com/25547600</x:v>
      </x:c>
      <x:c r="J61" s="33" t="str">
        <x:v>카카오 후보 자동선정</x:v>
      </x:c>
      <x:c r="K61" s="35" t="str">
        <x:v>용화산큰고개주차장; query=용화산; rank=2</x:v>
      </x:c>
    </x:row>
    <x:row r="62">
      <x:c r="A62" s="32" t="str">
        <x:v>P062</x:v>
      </x:c>
      <x:c r="B62" s="33" t="str">
        <x:v>선샤인스튜디오</x:v>
      </x:c>
      <x:c r="C62" s="33" t="str">
        <x:v>충청남도</x:v>
      </x:c>
      <x:c r="D62" s="33" t="str">
        <x:v>논산시</x:v>
      </x:c>
      <x:c r="E62" s="33" t="str">
        <x:v>충남 논산시 연무읍 봉황로 90</x:v>
      </x:c>
      <x:c r="F62" s="34" t="n">
        <x:v>36.102744829484976</x:v>
      </x:c>
      <x:c r="G62" s="34" t="n">
        <x:v>127.10481905674301</x:v>
      </x:c>
      <x:c r="H62" s="33" t="str">
        <x:v>카카오 로컬 API</x:v>
      </x:c>
      <x:c r="I62" s="33" t="str">
        <x:v>http://place.map.kakao.com/1956997299</x:v>
      </x:c>
      <x:c r="J62" s="33" t="str">
        <x:v>카카오 후보 자동선정</x:v>
      </x:c>
      <x:c r="K62" s="35" t="str">
        <x:v>선샤인스튜디오; query=선샤인스튜디오; rank=1</x:v>
      </x:c>
    </x:row>
    <x:row r="63">
      <x:c r="A63" s="32" t="str">
        <x:v>P065</x:v>
      </x:c>
      <x:c r="B63" s="33" t="str">
        <x:v>서산유기방가옥</x:v>
      </x:c>
      <x:c r="C63" s="33" t="str">
        <x:v>충청남도</x:v>
      </x:c>
      <x:c r="D63" s="33" t="str">
        <x:v>서산시</x:v>
      </x:c>
      <x:c r="E63" s="33" t="str">
        <x:v>충남 서산시 운산면 이문안길 72-10</x:v>
      </x:c>
      <x:c r="F63" s="34" t="n">
        <x:v>36.824683799127605</x:v>
      </x:c>
      <x:c r="G63" s="34" t="n">
        <x:v>126.57337176623733</x:v>
      </x:c>
      <x:c r="H63" s="33" t="str">
        <x:v>카카오 로컬 API</x:v>
      </x:c>
      <x:c r="I63" s="33" t="str">
        <x:v>http://place.map.kakao.com/25045267</x:v>
      </x:c>
      <x:c r="J63" s="33" t="str">
        <x:v>카카오 후보 자동선정</x:v>
      </x:c>
      <x:c r="K63" s="35" t="str">
        <x:v>유기방가옥; query=서산유기방가옥; rank=1</x:v>
      </x:c>
    </x:row>
    <x:row r="64">
      <x:c r="A64" s="32" t="str">
        <x:v>P066</x:v>
      </x:c>
      <x:c r="B64" s="33" t="str">
        <x:v>안동 만휴정</x:v>
      </x:c>
      <x:c r="C64" s="33" t="str">
        <x:v>경상북도</x:v>
      </x:c>
      <x:c r="D64" s="33" t="str">
        <x:v>안동시</x:v>
      </x:c>
      <x:c r="E64" s="33" t="str">
        <x:v>경북 안동시 길안면 묵계하리길 42</x:v>
      </x:c>
      <x:c r="F64" s="34" t="n">
        <x:v>36.41044601464208</x:v>
      </x:c>
      <x:c r="G64" s="34" t="n">
        <x:v>128.90985170979334</x:v>
      </x:c>
      <x:c r="H64" s="33" t="str">
        <x:v>카카오 로컬 API</x:v>
      </x:c>
      <x:c r="I64" s="33" t="str">
        <x:v>http://place.map.kakao.com/8349717</x:v>
      </x:c>
      <x:c r="J64" s="33" t="str">
        <x:v>카카오 후보 자동선정</x:v>
      </x:c>
      <x:c r="K64" s="35" t="str">
        <x:v>만휴정; query=안동 만휴정; rank=1</x:v>
      </x:c>
    </x:row>
    <x:row r="65">
      <x:c r="A65" s="32" t="str">
        <x:v>P067</x:v>
      </x:c>
      <x:c r="B65" s="33" t="str">
        <x:v>계명대</x:v>
      </x:c>
      <x:c r="C65" s="33" t="str">
        <x:v>대구광역시</x:v>
      </x:c>
      <x:c r="D65" s="33" t="str">
        <x:v>대구광역시</x:v>
      </x:c>
      <x:c r="E65" s="33" t="str">
        <x:v>대구 달서구 달구벌대로 1095</x:v>
      </x:c>
      <x:c r="F65" s="34" t="n">
        <x:v>35.85586772774384</x:v>
      </x:c>
      <x:c r="G65" s="34" t="n">
        <x:v>128.4845367856981</x:v>
      </x:c>
      <x:c r="H65" s="33" t="str">
        <x:v>카카오 로컬 API</x:v>
      </x:c>
      <x:c r="I65" s="33" t="str">
        <x:v>http://place.map.kakao.com/9651837</x:v>
      </x:c>
      <x:c r="J65" s="33" t="str">
        <x:v>카카오 후보 자동선정</x:v>
      </x:c>
      <x:c r="K65" s="35" t="str">
        <x:v>계명대학교 성서캠퍼스; query=계명대; rank=1</x:v>
      </x:c>
    </x:row>
    <x:row r="66">
      <x:c r="A66" s="32" t="str">
        <x:v>P068</x:v>
      </x:c>
      <x:c r="B66" s="33" t="str">
        <x:v>춘천 제이드가든</x:v>
      </x:c>
      <x:c r="C66" s="33" t="str">
        <x:v>강원특별자치도</x:v>
      </x:c>
      <x:c r="D66" s="33" t="str">
        <x:v>춘천시</x:v>
      </x:c>
      <x:c r="E66" s="33" t="str">
        <x:v>강원특별자치도 춘천시 남산면 햇골길 80</x:v>
      </x:c>
      <x:c r="F66" s="34" t="n">
        <x:v>37.83274730890742</x:v>
      </x:c>
      <x:c r="G66" s="34" t="n">
        <x:v>127.54214100487543</x:v>
      </x:c>
      <x:c r="H66" s="33" t="str">
        <x:v>카카오 로컬 API</x:v>
      </x:c>
      <x:c r="I66" s="33" t="str">
        <x:v>http://place.map.kakao.com/11209011</x:v>
      </x:c>
      <x:c r="J66" s="33" t="str">
        <x:v>카카오 후보 자동선정</x:v>
      </x:c>
      <x:c r="K66" s="35" t="str">
        <x:v>제이드가든; query=춘천 제이드가든; rank=1</x:v>
      </x:c>
    </x:row>
    <x:row r="67">
      <x:c r="A67" s="32" t="str">
        <x:v>P069</x:v>
      </x:c>
      <x:c r="B67" s="33" t="str">
        <x:v>남이섬</x:v>
      </x:c>
      <x:c r="C67" s="33" t="str">
        <x:v>강원특별자치도</x:v>
      </x:c>
      <x:c r="D67" s="33" t="str">
        <x:v>춘천시</x:v>
      </x:c>
      <x:c r="E67" s="33" t="str">
        <x:v>강원특별자치도 춘천시 남산면 남이섬길 1</x:v>
      </x:c>
      <x:c r="F67" s="34" t="n">
        <x:v>37.79144074509299</x:v>
      </x:c>
      <x:c r="G67" s="34" t="n">
        <x:v>127.52521014329739</x:v>
      </x:c>
      <x:c r="H67" s="33" t="str">
        <x:v>카카오 로컬 API</x:v>
      </x:c>
      <x:c r="I67" s="33" t="str">
        <x:v>http://place.map.kakao.com/11276521</x:v>
      </x:c>
      <x:c r="J67" s="33" t="str">
        <x:v>카카오 후보 자동선정</x:v>
      </x:c>
      <x:c r="K67" s="35" t="str">
        <x:v>남이섬; query=남이섬; rank=1</x:v>
      </x:c>
    </x:row>
    <x:row r="68">
      <x:c r="A68" s="32" t="str">
        <x:v>P070</x:v>
      </x:c>
      <x:c r="B68" s="33" t="str">
        <x:v>남이섬 겹벚나무길</x:v>
      </x:c>
      <x:c r="C68" s="33" t="str">
        <x:v>강원특별자치도</x:v>
      </x:c>
      <x:c r="D68" s="33" t="str">
        <x:v>춘천시</x:v>
      </x:c>
      <x:c r="E68" s="33" t="str">
        <x:v>강원특별자치도 춘천시 남산면 남이섬길 1</x:v>
      </x:c>
      <x:c r="F68" s="34" t="n">
        <x:v>37.79153</x:v>
      </x:c>
      <x:c r="G68" s="34" t="n">
        <x:v>127.52554</x:v>
      </x:c>
      <x:c r="H68" s="33" t="str">
        <x:v>사용자 지도 확인</x:v>
      </x:c>
      <x:c r="I68" s="33" t="str">
        <x:v>https://maps.app.goo.gl/7d3C3H2TCPEABLF99</x:v>
      </x:c>
      <x:c r="J68" s="33" t="str">
        <x:v>확정</x:v>
      </x:c>
      <x:c r="K68" s="35" t="str">
        <x:v>남이섬 노래박물관 부근 겹벚나무길</x:v>
      </x:c>
    </x:row>
    <x:row r="69">
      <x:c r="A69" s="32" t="str">
        <x:v>P071</x:v>
      </x:c>
      <x:c r="B69" s="33" t="str">
        <x:v>남이섬 메타세쿼이아길</x:v>
      </x:c>
      <x:c r="C69" s="33" t="str">
        <x:v>강원특별자치도</x:v>
      </x:c>
      <x:c r="D69" s="33" t="str">
        <x:v>춘천시</x:v>
      </x:c>
      <x:c r="E69" s="33" t="str">
        <x:v>강원특별자치도 춘천시 남산면 남이섬길 1</x:v>
      </x:c>
      <x:c r="F69" s="34" t="n">
        <x:v>37.7894276637595</x:v>
      </x:c>
      <x:c r="G69" s="34" t="n">
        <x:v>127.524480667386</x:v>
      </x:c>
      <x:c r="H69" s="33" t="str">
        <x:v>카카오 로컬 API</x:v>
      </x:c>
      <x:c r="I69" s="33" t="str">
        <x:v>http://place.map.kakao.com/17583283</x:v>
      </x:c>
      <x:c r="J69" s="33" t="str">
        <x:v>카카오 후보 자동선정</x:v>
      </x:c>
      <x:c r="K69" s="35" t="str">
        <x:v>남이섬유원지 메타세쿼이아길; query=남이섬 메타세쿼이아길; rank=1</x:v>
      </x:c>
    </x:row>
    <x:row r="70">
      <x:c r="A70" s="32" t="str">
        <x:v>P072</x:v>
      </x:c>
      <x:c r="B70" s="33" t="str">
        <x:v>아침고요수목원 서화연</x:v>
      </x:c>
      <x:c r="C70" s="33" t="str">
        <x:v>경기도</x:v>
      </x:c>
      <x:c r="D70" s="33" t="str">
        <x:v>가평군</x:v>
      </x:c>
      <x:c r="E70" s="33" t="str">
        <x:v>경기 가평군 상면 수목원로 427</x:v>
      </x:c>
      <x:c r="F70" s="34" t="n">
        <x:v>37.7395687372143</x:v>
      </x:c>
      <x:c r="G70" s="34" t="n">
        <x:v>127.351930894034</x:v>
      </x:c>
      <x:c r="H70" s="33" t="str">
        <x:v>카카오 로컬 API</x:v>
      </x:c>
      <x:c r="I70" s="33" t="str">
        <x:v>http://place.map.kakao.com/17563793</x:v>
      </x:c>
      <x:c r="J70" s="33" t="str">
        <x:v>카카오 후보 자동선정</x:v>
      </x:c>
      <x:c r="K70" s="35" t="str">
        <x:v>아침고요수목원 서화연; query=아침고요수목원 서화연; rank=1</x:v>
      </x:c>
    </x:row>
    <x:row r="71">
      <x:c r="A71" s="32" t="str">
        <x:v>P073</x:v>
      </x:c>
      <x:c r="B71" s="33" t="str">
        <x:v>전주향교</x:v>
      </x:c>
      <x:c r="C71" s="33" t="str">
        <x:v>전북특별자치도</x:v>
      </x:c>
      <x:c r="D71" s="33" t="str">
        <x:v>전주시</x:v>
      </x:c>
      <x:c r="E71" s="33" t="str">
        <x:v>전북특별자치도 전주시 완산구 향교길 139</x:v>
      </x:c>
      <x:c r="F71" s="34" t="n">
        <x:v>35.81275813126205</x:v>
      </x:c>
      <x:c r="G71" s="34" t="n">
        <x:v>127.15713397830652</x:v>
      </x:c>
      <x:c r="H71" s="33" t="str">
        <x:v>카카오 로컬 API</x:v>
      </x:c>
      <x:c r="I71" s="33" t="str">
        <x:v>http://place.map.kakao.com/8064969</x:v>
      </x:c>
      <x:c r="J71" s="33" t="str">
        <x:v>카카오 후보 자동선정</x:v>
      </x:c>
      <x:c r="K71" s="35" t="str">
        <x:v>전주향교; query=전주향교; rank=1</x:v>
      </x:c>
    </x:row>
    <x:row r="72">
      <x:c r="A72" s="32" t="str">
        <x:v>P074</x:v>
      </x:c>
      <x:c r="B72" s="33" t="str">
        <x:v>영월 선돌</x:v>
      </x:c>
      <x:c r="C72" s="33" t="str">
        <x:v>강원특별자치도</x:v>
      </x:c>
      <x:c r="D72" s="33" t="str">
        <x:v>영월군</x:v>
      </x:c>
      <x:c r="E72" s="33" t="str">
        <x:v>강원특별자치도 영월군 영월읍 방절리 769-4</x:v>
      </x:c>
      <x:c r="F72" s="34" t="n">
        <x:v>37.2056640235218</x:v>
      </x:c>
      <x:c r="G72" s="34" t="n">
        <x:v>128.433061290293</x:v>
      </x:c>
      <x:c r="H72" s="33" t="str">
        <x:v>카카오 로컬 API</x:v>
      </x:c>
      <x:c r="I72" s="33" t="str">
        <x:v>http://place.map.kakao.com/27002081</x:v>
      </x:c>
      <x:c r="J72" s="33" t="str">
        <x:v>카카오 후보 자동선정</x:v>
      </x:c>
      <x:c r="K72" s="35" t="str">
        <x:v>선돌; query=영월 선돌; rank=1</x:v>
      </x:c>
    </x:row>
    <x:row r="73">
      <x:c r="A73" s="32" t="str">
        <x:v>P075</x:v>
      </x:c>
      <x:c r="B73" s="33" t="str">
        <x:v>안동 하회마을</x:v>
      </x:c>
      <x:c r="C73" s="33" t="str">
        <x:v>경상북도</x:v>
      </x:c>
      <x:c r="D73" s="33" t="str">
        <x:v>안동시</x:v>
      </x:c>
      <x:c r="E73" s="33" t="str">
        <x:v>경북 안동시 풍천면 하회리 1176-1</x:v>
      </x:c>
      <x:c r="F73" s="34" t="n">
        <x:v>36.5389828267328</x:v>
      </x:c>
      <x:c r="G73" s="34" t="n">
        <x:v>128.518141153901</x:v>
      </x:c>
      <x:c r="H73" s="33" t="str">
        <x:v>카카오 로컬 API</x:v>
      </x:c>
      <x:c r="I73" s="33" t="str">
        <x:v>http://place.map.kakao.com/7999373</x:v>
      </x:c>
      <x:c r="J73" s="33" t="str">
        <x:v>카카오 후보 자동선정</x:v>
      </x:c>
      <x:c r="K73" s="35" t="str">
        <x:v>안동하회마을; query=안동 하회마을; rank=1</x:v>
      </x:c>
    </x:row>
    <x:row r="74">
      <x:c r="A74" s="32" t="str">
        <x:v>P083</x:v>
      </x:c>
      <x:c r="B74" s="33" t="str">
        <x:v>북한강길</x:v>
      </x:c>
      <x:c r="C74" s="33" t="str">
        <x:v>경기도</x:v>
      </x:c>
      <x:c r="D74" s="33" t="str">
        <x:v>가평군</x:v>
      </x:c>
      <x:c r="E74" s="33" t="str">
        <x:v>경기 가평군 청평면 삼회리</x:v>
      </x:c>
      <x:c r="F74" s="34" t="n">
        <x:v>37.7073429953365</x:v>
      </x:c>
      <x:c r="G74" s="34" t="n">
        <x:v>127.398350926483</x:v>
      </x:c>
      <x:c r="H74" s="33" t="str">
        <x:v>카카오 로컬 API</x:v>
      </x:c>
      <x:c r="I74" s="33" t="str"/>
      <x:c r="J74" s="33" t="str">
        <x:v>확정(대표좌표)</x:v>
      </x:c>
      <x:c r="K74" s="35" t="str">
        <x:v>영상의 벚꽃 드라이브 장면과 맞는 가평벚꽃길 후보</x:v>
      </x:c>
    </x:row>
    <x:row r="75">
      <x:c r="A75" s="36" t="str">
        <x:v>P087</x:v>
      </x:c>
      <x:c r="B75" s="37" t="str">
        <x:v>화본역</x:v>
      </x:c>
      <x:c r="C75" s="37" t="str">
        <x:v>대구광역시</x:v>
      </x:c>
      <x:c r="D75" s="37" t="str">
        <x:v>군위군</x:v>
      </x:c>
      <x:c r="E75" s="37" t="str">
        <x:v>대구 군위군 산성면 산성가음로 711-9</x:v>
      </x:c>
      <x:c r="F75" s="38" t="n">
        <x:v>36.12690505722286</x:v>
      </x:c>
      <x:c r="G75" s="38" t="n">
        <x:v>128.69488263069803</x:v>
      </x:c>
      <x:c r="H75" s="37" t="str">
        <x:v>카카오 로컬 API</x:v>
      </x:c>
      <x:c r="I75" s="37" t="str">
        <x:v>http://place.map.kakao.com/8167980</x:v>
      </x:c>
      <x:c r="J75" s="37" t="str">
        <x:v>카카오 후보 자동선정</x:v>
      </x:c>
      <x:c r="K75" s="39" t="str">
        <x:v>화본역 (폐역); query=화본역; rank=1</x:v>
      </x:c>
    </x:row>
  </x:sheetData>
  <x:pageMargins left="0.7" right="0.7" top="0.75" bottom="0.75" header="0.3" footer="0.3"/>
  <x:tableParts count="1">
    <x:tablePart xmlns:r="http://schemas.openxmlformats.org/officeDocument/2006/relationships" r:id="R184546e711954528"/>
  </x:tableParts>
</x:worksheet>
</file>